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5 May 2026\25-05-26\Upl\ATM &amp; Card Statistics data - March 2026\Eng\"/>
    </mc:Choice>
  </mc:AlternateContent>
  <xr:revisionPtr revIDLastSave="0" documentId="13_ncr:1_{6EA1625A-4F9A-414F-9CD3-3058A8A7AD2A}" xr6:coauthVersionLast="47" xr6:coauthVersionMax="47" xr10:uidLastSave="{00000000-0000-0000-0000-000000000000}"/>
  <bookViews>
    <workbookView xWindow="-120" yWindow="-120" windowWidth="29040" windowHeight="15720" xr2:uid="{B0A78BED-944F-484B-B947-4FE0FBB082E9}"/>
  </bookViews>
  <sheets>
    <sheet name="For Website March 2026" sheetId="1" r:id="rId1"/>
  </sheets>
  <definedNames>
    <definedName name="_xlnm._FilterDatabase" localSheetId="0" hidden="1">'For Website March 2026'!$D$8:$AC$79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9" i="1" l="1"/>
  <c r="D79" i="1"/>
  <c r="R79" i="1"/>
  <c r="X79" i="1" l="1"/>
  <c r="H79" i="1"/>
  <c r="U79" i="1"/>
  <c r="G79" i="1"/>
  <c r="O79" i="1"/>
  <c r="Q79" i="1"/>
  <c r="V79" i="1"/>
  <c r="I79" i="1"/>
  <c r="Y79" i="1"/>
  <c r="F79" i="1"/>
  <c r="J79" i="1"/>
  <c r="Z79" i="1"/>
  <c r="M79" i="1"/>
  <c r="AC79" i="1"/>
  <c r="K79" i="1"/>
  <c r="L79" i="1"/>
  <c r="N79" i="1"/>
  <c r="AB79" i="1"/>
  <c r="P79" i="1"/>
  <c r="AA79" i="1"/>
  <c r="S79" i="1"/>
  <c r="T79" i="1"/>
  <c r="W79" i="1"/>
</calcChain>
</file>

<file path=xl/sharedStrings.xml><?xml version="1.0" encoding="utf-8"?>
<sst xmlns="http://schemas.openxmlformats.org/spreadsheetml/2006/main" count="148" uniqueCount="126">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</sst>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>
      <alignment horizontal="right"/>
    </xf>
    <xf numFmtId="1" fontId="8" fillId="2" borderId="2" xfId="0" applyNumberFormat="1" applyFont="1" applyFill="1" applyBorder="1"/>
    <xf numFmtId="0" fontId="8" fillId="2" borderId="2" xfId="0" applyFont="1" applyFill="1" applyBorder="1" applyAlignment="1" applyProtection="1">
      <alignment horizontal="left"/>
      <protection locked="0"/>
    </xf>
    <xf numFmtId="0" fontId="8" fillId="2" borderId="2" xfId="0" applyFont="1" applyFill="1" applyBorder="1" applyAlignment="1">
      <alignment horizontal="right"/>
    </xf>
    <xf numFmtId="0" fontId="8" fillId="0" borderId="0" xfId="0" applyFont="1"/>
    <xf numFmtId="0" fontId="0" fillId="2" borderId="0" xfId="0" applyFill="1"/>
    <xf numFmtId="0" fontId="6" fillId="2" borderId="2" xfId="0" applyFont="1" applyFill="1" applyBorder="1" applyAlignment="1" applyProtection="1">
      <alignment vertical="center"/>
      <protection locked="0"/>
    </xf>
    <xf numFmtId="0" fontId="0" fillId="2" borderId="2" xfId="0" applyFill="1" applyBorder="1" applyProtection="1">
      <protection locked="0"/>
    </xf>
    <xf numFmtId="0" fontId="0" fillId="2" borderId="0" xfId="0" applyFill="1" applyAlignment="1">
      <alignment horizontal="left"/>
    </xf>
    <xf numFmtId="0" fontId="0" fillId="0" borderId="0" xfId="0" applyAlignment="1">
      <alignment horizontal="right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>
      <alignment horizontal="right" vertical="top"/>
    </xf>
    <xf numFmtId="1" fontId="8" fillId="2" borderId="2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0" fillId="2" borderId="2" xfId="0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1" fontId="6" fillId="2" borderId="2" xfId="0" applyNumberFormat="1" applyFont="1" applyFill="1" applyBorder="1" applyAlignment="1" applyProtection="1">
      <alignment horizontal="right" vertical="center"/>
    </xf>
    <xf numFmtId="0" fontId="3" fillId="0" borderId="0" xfId="0" applyFont="1"/>
    <xf numFmtId="0" fontId="0" fillId="0" borderId="0" xfId="0" applyAlignment="1" applyProtection="1">
      <alignment horizontal="left"/>
      <protection locked="0"/>
    </xf>
    <xf numFmtId="0" fontId="2" fillId="0" borderId="0" xfId="0" applyFont="1"/>
    <xf numFmtId="0" fontId="11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vertical="center" wrapText="1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 applyProtection="1">
      <alignment horizontal="left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vertical="center"/>
      <protection locked="0"/>
    </xf>
    <xf numFmtId="0" fontId="0" fillId="2" borderId="2" xfId="0" applyFill="1" applyBorder="1" applyAlignment="1">
      <alignment horizontal="right"/>
    </xf>
    <xf numFmtId="0" fontId="9" fillId="2" borderId="2" xfId="1" applyFont="1" applyFill="1" applyBorder="1" applyAlignment="1" applyProtection="1">
      <alignment vertical="center" wrapText="1"/>
      <protection locked="0"/>
    </xf>
    <xf numFmtId="164" fontId="9" fillId="2" borderId="2" xfId="1" applyNumberFormat="1" applyFont="1" applyFill="1" applyBorder="1" applyAlignment="1" applyProtection="1">
      <alignment horizontal="right" vertical="center" wrapText="1"/>
      <protection locked="0"/>
    </xf>
    <xf numFmtId="0" fontId="9" fillId="2" borderId="1" xfId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top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4" fillId="2" borderId="2" xfId="1" applyFont="1" applyFill="1" applyBorder="1" applyAlignment="1" applyProtection="1">
      <alignment horizontal="left" vertical="center" wrapText="1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9595479E-437C-4F97-9532-DE870B318710}"/>
    <cellStyle name="Normal 2 2" xfId="1" xr:uid="{C2BADFEB-903D-4DDA-BA09-E40FF4E002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EE62-3AA6-459C-B204-B62E68661F40}">
  <dimension ref="A1:AE108"/>
  <sheetViews>
    <sheetView tabSelected="1" zoomScale="85" zoomScaleNormal="85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5" x14ac:dyDescent="0.25"/>
  <cols>
    <col min="1" max="1" width="5.140625" style="1" bestFit="1" customWidth="1"/>
    <col min="2" max="2" width="8.7109375" customWidth="1"/>
    <col min="3" max="3" width="44" bestFit="1" customWidth="1"/>
    <col min="4" max="4" width="9.42578125" style="15" customWidth="1"/>
    <col min="5" max="5" width="9.28515625" style="15" customWidth="1"/>
    <col min="6" max="6" width="9.7109375" customWidth="1"/>
    <col min="7" max="7" width="9.28515625" customWidth="1"/>
    <col min="8" max="8" width="10.42578125" customWidth="1"/>
    <col min="9" max="9" width="11.5703125" customWidth="1"/>
    <col min="10" max="10" width="11" customWidth="1"/>
    <col min="11" max="11" width="12.28515625" customWidth="1"/>
    <col min="12" max="12" width="10.28515625" bestFit="1" customWidth="1"/>
    <col min="13" max="13" width="12" bestFit="1" customWidth="1"/>
    <col min="14" max="14" width="10" bestFit="1" customWidth="1"/>
    <col min="15" max="15" width="12" bestFit="1" customWidth="1"/>
    <col min="16" max="16" width="10.7109375" customWidth="1"/>
    <col min="17" max="17" width="10" bestFit="1" customWidth="1"/>
    <col min="18" max="18" width="10" customWidth="1"/>
    <col min="19" max="19" width="12" bestFit="1" customWidth="1"/>
    <col min="20" max="20" width="10" bestFit="1" customWidth="1"/>
    <col min="21" max="23" width="12" bestFit="1" customWidth="1"/>
    <col min="24" max="24" width="10.85546875" customWidth="1"/>
    <col min="25" max="25" width="12" bestFit="1" customWidth="1"/>
    <col min="26" max="26" width="10" bestFit="1" customWidth="1"/>
    <col min="27" max="27" width="11" bestFit="1" customWidth="1"/>
    <col min="28" max="28" width="10.140625" customWidth="1"/>
    <col min="29" max="29" width="12" bestFit="1" customWidth="1"/>
    <col min="30" max="30" width="12.28515625" customWidth="1"/>
  </cols>
  <sheetData>
    <row r="1" spans="1:29" x14ac:dyDescent="0.25">
      <c r="A1" s="14"/>
      <c r="B1" s="11"/>
      <c r="C1" s="11"/>
      <c r="D1" s="28"/>
      <c r="E1" s="2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x14ac:dyDescent="0.25">
      <c r="A2" s="14"/>
      <c r="B2" s="45" t="s">
        <v>125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29" x14ac:dyDescent="0.25">
      <c r="A3" s="14"/>
      <c r="B3" s="45" t="s">
        <v>0</v>
      </c>
      <c r="C3" s="45" t="s">
        <v>1</v>
      </c>
      <c r="D3" s="48" t="s">
        <v>2</v>
      </c>
      <c r="E3" s="48"/>
      <c r="F3" s="48"/>
      <c r="G3" s="48"/>
      <c r="H3" s="48"/>
      <c r="I3" s="48"/>
      <c r="J3" s="48"/>
      <c r="K3" s="48"/>
      <c r="L3" s="45" t="s">
        <v>3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spans="1:29" ht="15.75" customHeight="1" x14ac:dyDescent="0.25">
      <c r="A4" s="14"/>
      <c r="B4" s="45"/>
      <c r="C4" s="45"/>
      <c r="D4" s="46" t="s">
        <v>4</v>
      </c>
      <c r="E4" s="46"/>
      <c r="F4" s="46"/>
      <c r="G4" s="46"/>
      <c r="H4" s="46"/>
      <c r="I4" s="46"/>
      <c r="J4" s="46"/>
      <c r="K4" s="46"/>
      <c r="L4" s="45" t="s">
        <v>5</v>
      </c>
      <c r="M4" s="45"/>
      <c r="N4" s="45"/>
      <c r="O4" s="45"/>
      <c r="P4" s="45"/>
      <c r="Q4" s="45"/>
      <c r="R4" s="45"/>
      <c r="S4" s="45"/>
      <c r="T4" s="45" t="s">
        <v>6</v>
      </c>
      <c r="U4" s="45"/>
      <c r="V4" s="45"/>
      <c r="W4" s="45"/>
      <c r="X4" s="45"/>
      <c r="Y4" s="45"/>
      <c r="Z4" s="45"/>
      <c r="AA4" s="45"/>
      <c r="AB4" s="45"/>
      <c r="AC4" s="45"/>
    </row>
    <row r="5" spans="1:29" ht="15.75" customHeight="1" x14ac:dyDescent="0.25">
      <c r="A5" s="14"/>
      <c r="B5" s="45"/>
      <c r="C5" s="45"/>
      <c r="D5" s="46" t="s">
        <v>7</v>
      </c>
      <c r="E5" s="46"/>
      <c r="F5" s="46" t="s">
        <v>8</v>
      </c>
      <c r="G5" s="46" t="s">
        <v>9</v>
      </c>
      <c r="H5" s="46" t="s">
        <v>10</v>
      </c>
      <c r="I5" s="46" t="s">
        <v>11</v>
      </c>
      <c r="J5" s="46" t="s">
        <v>12</v>
      </c>
      <c r="K5" s="46" t="s">
        <v>13</v>
      </c>
      <c r="L5" s="45" t="s">
        <v>14</v>
      </c>
      <c r="M5" s="45"/>
      <c r="N5" s="45"/>
      <c r="O5" s="45"/>
      <c r="P5" s="45"/>
      <c r="Q5" s="45"/>
      <c r="R5" s="45" t="s">
        <v>15</v>
      </c>
      <c r="S5" s="45"/>
      <c r="T5" s="45" t="s">
        <v>14</v>
      </c>
      <c r="U5" s="45"/>
      <c r="V5" s="45"/>
      <c r="W5" s="45"/>
      <c r="X5" s="45"/>
      <c r="Y5" s="45"/>
      <c r="Z5" s="45" t="s">
        <v>15</v>
      </c>
      <c r="AA5" s="45"/>
      <c r="AB5" s="45"/>
      <c r="AC5" s="45"/>
    </row>
    <row r="6" spans="1:29" x14ac:dyDescent="0.25">
      <c r="A6" s="14"/>
      <c r="B6" s="45"/>
      <c r="C6" s="45"/>
      <c r="D6" s="46"/>
      <c r="E6" s="46"/>
      <c r="F6" s="46"/>
      <c r="G6" s="46"/>
      <c r="H6" s="46"/>
      <c r="I6" s="46"/>
      <c r="J6" s="46"/>
      <c r="K6" s="46"/>
      <c r="L6" s="46" t="s">
        <v>16</v>
      </c>
      <c r="M6" s="46"/>
      <c r="N6" s="46" t="s">
        <v>17</v>
      </c>
      <c r="O6" s="46"/>
      <c r="P6" s="45" t="s">
        <v>18</v>
      </c>
      <c r="Q6" s="45"/>
      <c r="R6" s="45" t="s">
        <v>19</v>
      </c>
      <c r="S6" s="45"/>
      <c r="T6" s="46" t="s">
        <v>16</v>
      </c>
      <c r="U6" s="46"/>
      <c r="V6" s="46" t="s">
        <v>17</v>
      </c>
      <c r="W6" s="46"/>
      <c r="X6" s="45" t="s">
        <v>18</v>
      </c>
      <c r="Y6" s="45"/>
      <c r="Z6" s="46" t="s">
        <v>20</v>
      </c>
      <c r="AA6" s="46"/>
      <c r="AB6" s="46" t="s">
        <v>8</v>
      </c>
      <c r="AC6" s="46"/>
    </row>
    <row r="7" spans="1:29" s="2" customFormat="1" ht="45" x14ac:dyDescent="0.25">
      <c r="A7" s="29"/>
      <c r="B7" s="45"/>
      <c r="C7" s="45"/>
      <c r="D7" s="33" t="s">
        <v>21</v>
      </c>
      <c r="E7" s="34" t="s">
        <v>22</v>
      </c>
      <c r="F7" s="46"/>
      <c r="G7" s="46"/>
      <c r="H7" s="46"/>
      <c r="I7" s="46"/>
      <c r="J7" s="46"/>
      <c r="K7" s="46"/>
      <c r="L7" s="35" t="s">
        <v>23</v>
      </c>
      <c r="M7" s="35" t="s">
        <v>24</v>
      </c>
      <c r="N7" s="35" t="s">
        <v>23</v>
      </c>
      <c r="O7" s="35" t="s">
        <v>24</v>
      </c>
      <c r="P7" s="35" t="s">
        <v>23</v>
      </c>
      <c r="Q7" s="35" t="s">
        <v>24</v>
      </c>
      <c r="R7" s="35" t="s">
        <v>23</v>
      </c>
      <c r="S7" s="35" t="s">
        <v>24</v>
      </c>
      <c r="T7" s="35" t="s">
        <v>23</v>
      </c>
      <c r="U7" s="35" t="s">
        <v>24</v>
      </c>
      <c r="V7" s="35" t="s">
        <v>23</v>
      </c>
      <c r="W7" s="35" t="s">
        <v>24</v>
      </c>
      <c r="X7" s="35" t="s">
        <v>23</v>
      </c>
      <c r="Y7" s="35" t="s">
        <v>24</v>
      </c>
      <c r="Z7" s="35" t="s">
        <v>23</v>
      </c>
      <c r="AA7" s="35" t="s">
        <v>24</v>
      </c>
      <c r="AB7" s="35" t="s">
        <v>23</v>
      </c>
      <c r="AC7" s="35" t="s">
        <v>24</v>
      </c>
    </row>
    <row r="8" spans="1:29" x14ac:dyDescent="0.25">
      <c r="A8" s="14"/>
      <c r="B8" s="36"/>
      <c r="C8" s="36"/>
      <c r="D8" s="33">
        <v>1</v>
      </c>
      <c r="E8" s="33">
        <v>2</v>
      </c>
      <c r="F8" s="33">
        <v>3</v>
      </c>
      <c r="G8" s="33">
        <v>4</v>
      </c>
      <c r="H8" s="33">
        <v>5</v>
      </c>
      <c r="I8" s="33">
        <v>6</v>
      </c>
      <c r="J8" s="33">
        <v>7</v>
      </c>
      <c r="K8" s="33">
        <v>8</v>
      </c>
      <c r="L8" s="33">
        <v>9</v>
      </c>
      <c r="M8" s="33">
        <v>10</v>
      </c>
      <c r="N8" s="33">
        <v>11</v>
      </c>
      <c r="O8" s="33">
        <v>12</v>
      </c>
      <c r="P8" s="33">
        <v>13</v>
      </c>
      <c r="Q8" s="33">
        <v>14</v>
      </c>
      <c r="R8" s="33">
        <v>15</v>
      </c>
      <c r="S8" s="33">
        <v>16</v>
      </c>
      <c r="T8" s="33">
        <v>17</v>
      </c>
      <c r="U8" s="33">
        <v>18</v>
      </c>
      <c r="V8" s="33">
        <v>19</v>
      </c>
      <c r="W8" s="33">
        <v>20</v>
      </c>
      <c r="X8" s="33">
        <v>21</v>
      </c>
      <c r="Y8" s="33">
        <v>22</v>
      </c>
      <c r="Z8" s="33">
        <v>23</v>
      </c>
      <c r="AA8" s="33">
        <v>24</v>
      </c>
      <c r="AB8" s="33">
        <v>25</v>
      </c>
      <c r="AC8" s="33">
        <v>26</v>
      </c>
    </row>
    <row r="9" spans="1:29" x14ac:dyDescent="0.25">
      <c r="A9" s="14"/>
      <c r="B9" s="12" t="s">
        <v>25</v>
      </c>
      <c r="C9" s="12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25">
      <c r="A10" s="14"/>
      <c r="B10" s="12" t="s">
        <v>26</v>
      </c>
      <c r="C10" s="1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5">
      <c r="A11" s="14"/>
      <c r="B11" s="42">
        <v>1</v>
      </c>
      <c r="C11" s="5" t="s">
        <v>27</v>
      </c>
      <c r="D11" s="6">
        <v>9101</v>
      </c>
      <c r="E11" s="6">
        <v>2496</v>
      </c>
      <c r="F11" s="6">
        <v>61088</v>
      </c>
      <c r="G11" s="6">
        <v>42223</v>
      </c>
      <c r="H11" s="6">
        <v>28244</v>
      </c>
      <c r="I11" s="6">
        <v>3312528</v>
      </c>
      <c r="J11" s="6">
        <v>3175957</v>
      </c>
      <c r="K11" s="6">
        <v>87616162</v>
      </c>
      <c r="L11" s="7">
        <v>10552690</v>
      </c>
      <c r="M11" s="7">
        <v>19022510.520679999</v>
      </c>
      <c r="N11" s="7">
        <v>4261004</v>
      </c>
      <c r="O11" s="7">
        <v>18062060.539099999</v>
      </c>
      <c r="P11" s="7">
        <v>0</v>
      </c>
      <c r="Q11" s="7">
        <v>0</v>
      </c>
      <c r="R11" s="7">
        <v>11722</v>
      </c>
      <c r="S11" s="7">
        <v>64707.5</v>
      </c>
      <c r="T11" s="7">
        <v>2905811</v>
      </c>
      <c r="U11" s="7">
        <v>7597196.7507699998</v>
      </c>
      <c r="V11" s="7">
        <v>398131</v>
      </c>
      <c r="W11" s="7">
        <v>2346472.9608800001</v>
      </c>
      <c r="X11" s="7">
        <v>41</v>
      </c>
      <c r="Y11" s="7">
        <v>107.26</v>
      </c>
      <c r="Z11" s="7">
        <v>22645771</v>
      </c>
      <c r="AA11" s="7">
        <v>121894008.802</v>
      </c>
      <c r="AB11" s="7">
        <v>0</v>
      </c>
      <c r="AC11" s="7">
        <v>0</v>
      </c>
    </row>
    <row r="12" spans="1:29" x14ac:dyDescent="0.25">
      <c r="A12" s="14"/>
      <c r="B12" s="42">
        <v>2</v>
      </c>
      <c r="C12" s="5" t="s">
        <v>28</v>
      </c>
      <c r="D12" s="6">
        <v>5216</v>
      </c>
      <c r="E12" s="6">
        <v>2469</v>
      </c>
      <c r="F12" s="6">
        <v>19502</v>
      </c>
      <c r="G12" s="6">
        <v>25536</v>
      </c>
      <c r="H12" s="6">
        <v>0</v>
      </c>
      <c r="I12" s="6">
        <v>1488848</v>
      </c>
      <c r="J12" s="6">
        <v>117662</v>
      </c>
      <c r="K12" s="6">
        <v>37800793</v>
      </c>
      <c r="L12" s="7">
        <v>119074</v>
      </c>
      <c r="M12" s="7">
        <v>608321.08942999993</v>
      </c>
      <c r="N12" s="7">
        <v>482895</v>
      </c>
      <c r="O12" s="7">
        <v>958826.91472</v>
      </c>
      <c r="P12" s="7">
        <v>0</v>
      </c>
      <c r="Q12" s="7">
        <v>0</v>
      </c>
      <c r="R12" s="7">
        <v>8295</v>
      </c>
      <c r="S12" s="7">
        <v>49125.566469999998</v>
      </c>
      <c r="T12" s="7">
        <v>1803442</v>
      </c>
      <c r="U12" s="7">
        <v>4466655.1809999999</v>
      </c>
      <c r="V12" s="7">
        <v>292183</v>
      </c>
      <c r="W12" s="7">
        <v>896383.60199999996</v>
      </c>
      <c r="X12" s="7">
        <v>0</v>
      </c>
      <c r="Y12" s="7">
        <v>0</v>
      </c>
      <c r="Z12" s="7">
        <v>14204975</v>
      </c>
      <c r="AA12" s="7">
        <v>65157542.947999999</v>
      </c>
      <c r="AB12" s="7">
        <v>7</v>
      </c>
      <c r="AC12" s="7">
        <v>5.88</v>
      </c>
    </row>
    <row r="13" spans="1:29" s="10" customFormat="1" ht="16.5" customHeight="1" x14ac:dyDescent="0.2">
      <c r="A13" s="30"/>
      <c r="B13" s="42">
        <v>3</v>
      </c>
      <c r="C13" s="8" t="s">
        <v>29</v>
      </c>
      <c r="D13" s="9">
        <v>2435</v>
      </c>
      <c r="E13" s="9">
        <v>250</v>
      </c>
      <c r="F13" s="9">
        <v>584</v>
      </c>
      <c r="G13" s="9">
        <v>7643</v>
      </c>
      <c r="H13" s="9">
        <v>355014</v>
      </c>
      <c r="I13" s="9">
        <v>965510</v>
      </c>
      <c r="J13" s="9">
        <v>0</v>
      </c>
      <c r="K13" s="9">
        <v>12625133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879130</v>
      </c>
      <c r="U13" s="7">
        <v>2239856.9076300003</v>
      </c>
      <c r="V13" s="7">
        <v>107668</v>
      </c>
      <c r="W13" s="7">
        <v>383135.68526999996</v>
      </c>
      <c r="X13" s="7">
        <v>5882</v>
      </c>
      <c r="Y13" s="7">
        <v>62270.757469999997</v>
      </c>
      <c r="Z13" s="7">
        <v>5689152</v>
      </c>
      <c r="AA13" s="7">
        <v>30409222.340160001</v>
      </c>
      <c r="AB13" s="7">
        <v>0</v>
      </c>
      <c r="AC13" s="7">
        <v>0</v>
      </c>
    </row>
    <row r="14" spans="1:29" x14ac:dyDescent="0.25">
      <c r="A14" s="14"/>
      <c r="B14" s="42">
        <v>4</v>
      </c>
      <c r="C14" s="5" t="s">
        <v>30</v>
      </c>
      <c r="D14" s="6">
        <v>8062</v>
      </c>
      <c r="E14" s="6">
        <v>3244</v>
      </c>
      <c r="F14" s="6">
        <v>91390</v>
      </c>
      <c r="G14" s="6">
        <v>12004</v>
      </c>
      <c r="H14" s="6">
        <v>0</v>
      </c>
      <c r="I14" s="6">
        <v>4145933</v>
      </c>
      <c r="J14" s="6">
        <v>1123015</v>
      </c>
      <c r="K14" s="6">
        <v>61217059</v>
      </c>
      <c r="L14" s="7">
        <v>1152555</v>
      </c>
      <c r="M14" s="7">
        <v>4984554.5467600003</v>
      </c>
      <c r="N14" s="7">
        <v>600443</v>
      </c>
      <c r="O14" s="7">
        <v>3315326.6999599999</v>
      </c>
      <c r="P14" s="7">
        <v>0</v>
      </c>
      <c r="Q14" s="7">
        <v>0</v>
      </c>
      <c r="R14" s="7">
        <v>87436</v>
      </c>
      <c r="S14" s="7">
        <v>519339.9</v>
      </c>
      <c r="T14" s="7">
        <v>4855821</v>
      </c>
      <c r="U14" s="7">
        <v>15589731.590150001</v>
      </c>
      <c r="V14" s="7">
        <v>892788</v>
      </c>
      <c r="W14" s="7">
        <v>4417267.7999200001</v>
      </c>
      <c r="X14" s="7">
        <v>5124</v>
      </c>
      <c r="Y14" s="7">
        <v>105647.637</v>
      </c>
      <c r="Z14" s="7">
        <v>28811822</v>
      </c>
      <c r="AA14" s="7">
        <v>151702729.347</v>
      </c>
      <c r="AB14" s="7">
        <v>14</v>
      </c>
      <c r="AC14" s="7">
        <v>6.1879999999999997</v>
      </c>
    </row>
    <row r="15" spans="1:29" x14ac:dyDescent="0.25">
      <c r="A15" s="14"/>
      <c r="B15" s="42">
        <v>5</v>
      </c>
      <c r="C15" s="5" t="s">
        <v>31</v>
      </c>
      <c r="D15" s="6">
        <v>2871</v>
      </c>
      <c r="E15" s="6">
        <v>948</v>
      </c>
      <c r="F15" s="6">
        <v>3678</v>
      </c>
      <c r="G15" s="6">
        <v>3030</v>
      </c>
      <c r="H15" s="6">
        <v>38138</v>
      </c>
      <c r="I15" s="6">
        <v>1588687</v>
      </c>
      <c r="J15" s="6">
        <v>0</v>
      </c>
      <c r="K15" s="6">
        <v>31150865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872791</v>
      </c>
      <c r="U15" s="7">
        <v>2725496.1269999999</v>
      </c>
      <c r="V15" s="7">
        <v>202844</v>
      </c>
      <c r="W15" s="7">
        <v>745585.6</v>
      </c>
      <c r="X15" s="7">
        <v>0</v>
      </c>
      <c r="Y15" s="7">
        <v>0</v>
      </c>
      <c r="Z15" s="7">
        <v>7421134</v>
      </c>
      <c r="AA15" s="7">
        <v>37470433.333999999</v>
      </c>
      <c r="AB15" s="7">
        <v>1</v>
      </c>
      <c r="AC15" s="7">
        <v>1E-3</v>
      </c>
    </row>
    <row r="16" spans="1:29" x14ac:dyDescent="0.25">
      <c r="A16" s="14"/>
      <c r="B16" s="42">
        <v>6</v>
      </c>
      <c r="C16" s="5" t="s">
        <v>32</v>
      </c>
      <c r="D16" s="6">
        <v>5011</v>
      </c>
      <c r="E16" s="6">
        <v>646</v>
      </c>
      <c r="F16" s="6">
        <v>27011</v>
      </c>
      <c r="G16" s="6">
        <v>17032</v>
      </c>
      <c r="H16" s="6">
        <v>0</v>
      </c>
      <c r="I16" s="6">
        <v>2696221</v>
      </c>
      <c r="J16" s="6">
        <v>267754</v>
      </c>
      <c r="K16" s="6">
        <v>36432239</v>
      </c>
      <c r="L16" s="7">
        <v>171882</v>
      </c>
      <c r="M16" s="7">
        <v>863972.32205999992</v>
      </c>
      <c r="N16" s="7">
        <v>146754</v>
      </c>
      <c r="O16" s="7">
        <v>957592.35438999999</v>
      </c>
      <c r="P16" s="7">
        <v>0</v>
      </c>
      <c r="Q16" s="7">
        <v>0</v>
      </c>
      <c r="R16" s="7">
        <v>3710</v>
      </c>
      <c r="S16" s="7">
        <v>30830.16</v>
      </c>
      <c r="T16" s="7">
        <v>2355048</v>
      </c>
      <c r="U16" s="7">
        <v>6659483.6133100018</v>
      </c>
      <c r="V16" s="7">
        <v>351690</v>
      </c>
      <c r="W16" s="7">
        <v>972040.71299999999</v>
      </c>
      <c r="X16" s="7">
        <v>229</v>
      </c>
      <c r="Y16" s="7">
        <v>756.57899999999995</v>
      </c>
      <c r="Z16" s="7">
        <v>17025875</v>
      </c>
      <c r="AA16" s="7">
        <v>91186883.751239985</v>
      </c>
      <c r="AB16" s="7">
        <v>4</v>
      </c>
      <c r="AC16" s="7">
        <v>2.2999999999999998</v>
      </c>
    </row>
    <row r="17" spans="1:29" x14ac:dyDescent="0.25">
      <c r="A17" s="14"/>
      <c r="B17" s="42">
        <v>7</v>
      </c>
      <c r="C17" s="5" t="s">
        <v>33</v>
      </c>
      <c r="D17" s="6">
        <v>2919</v>
      </c>
      <c r="E17" s="6">
        <v>732</v>
      </c>
      <c r="F17" s="6">
        <v>21047</v>
      </c>
      <c r="G17" s="6">
        <v>12187</v>
      </c>
      <c r="H17" s="6">
        <v>0</v>
      </c>
      <c r="I17" s="6">
        <v>574331</v>
      </c>
      <c r="J17" s="6">
        <v>140973</v>
      </c>
      <c r="K17" s="6">
        <v>21922388</v>
      </c>
      <c r="L17" s="7">
        <v>537248</v>
      </c>
      <c r="M17" s="7">
        <v>967161.48100000003</v>
      </c>
      <c r="N17" s="7">
        <v>55178</v>
      </c>
      <c r="O17" s="7">
        <v>256393.33300000001</v>
      </c>
      <c r="P17" s="7">
        <v>0</v>
      </c>
      <c r="Q17" s="7">
        <v>0</v>
      </c>
      <c r="R17" s="7">
        <v>6955</v>
      </c>
      <c r="S17" s="7">
        <v>36321.4</v>
      </c>
      <c r="T17" s="7">
        <v>1923748</v>
      </c>
      <c r="U17" s="7">
        <v>5147569.5810000002</v>
      </c>
      <c r="V17" s="7">
        <v>217485</v>
      </c>
      <c r="W17" s="7">
        <v>671539.76030999993</v>
      </c>
      <c r="X17" s="7">
        <v>0</v>
      </c>
      <c r="Y17" s="7">
        <v>0</v>
      </c>
      <c r="Z17" s="7">
        <v>11314672</v>
      </c>
      <c r="AA17" s="7">
        <v>55203670.899429999</v>
      </c>
      <c r="AB17" s="7">
        <v>0</v>
      </c>
      <c r="AC17" s="7">
        <v>0</v>
      </c>
    </row>
    <row r="18" spans="1:29" x14ac:dyDescent="0.25">
      <c r="A18" s="14"/>
      <c r="B18" s="42">
        <v>8</v>
      </c>
      <c r="C18" s="5" t="s">
        <v>34</v>
      </c>
      <c r="D18" s="6">
        <v>1122</v>
      </c>
      <c r="E18" s="6">
        <v>39</v>
      </c>
      <c r="F18" s="6">
        <v>1297</v>
      </c>
      <c r="G18" s="6">
        <v>2125</v>
      </c>
      <c r="H18" s="6">
        <v>1437</v>
      </c>
      <c r="I18" s="6">
        <v>209815</v>
      </c>
      <c r="J18" s="6">
        <v>0</v>
      </c>
      <c r="K18" s="6">
        <v>3798539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42748</v>
      </c>
      <c r="U18" s="7">
        <v>141098.74100000001</v>
      </c>
      <c r="V18" s="7">
        <v>197405</v>
      </c>
      <c r="W18" s="7">
        <v>554350.95799999998</v>
      </c>
      <c r="X18" s="7">
        <v>0</v>
      </c>
      <c r="Y18" s="7">
        <v>0</v>
      </c>
      <c r="Z18" s="7">
        <v>1290259</v>
      </c>
      <c r="AA18" s="7">
        <v>6808180.0999999996</v>
      </c>
      <c r="AB18" s="7">
        <v>0</v>
      </c>
      <c r="AC18" s="7">
        <v>0</v>
      </c>
    </row>
    <row r="19" spans="1:29" s="11" customFormat="1" x14ac:dyDescent="0.25">
      <c r="A19" s="14"/>
      <c r="B19" s="42">
        <v>9</v>
      </c>
      <c r="C19" s="5" t="s">
        <v>35</v>
      </c>
      <c r="D19" s="6">
        <v>7304</v>
      </c>
      <c r="E19" s="6">
        <v>3761</v>
      </c>
      <c r="F19" s="6">
        <v>27225</v>
      </c>
      <c r="G19" s="6">
        <v>0</v>
      </c>
      <c r="H19" s="6">
        <v>132030</v>
      </c>
      <c r="I19" s="6">
        <v>1042307</v>
      </c>
      <c r="J19" s="6">
        <v>856923</v>
      </c>
      <c r="K19" s="6">
        <v>41207754</v>
      </c>
      <c r="L19" s="7">
        <v>390248</v>
      </c>
      <c r="M19" s="7">
        <v>1923611.6819000002</v>
      </c>
      <c r="N19" s="7">
        <v>365171</v>
      </c>
      <c r="O19" s="7">
        <v>1779863.3839400001</v>
      </c>
      <c r="P19" s="7">
        <v>4</v>
      </c>
      <c r="Q19" s="7">
        <v>134.602</v>
      </c>
      <c r="R19" s="7">
        <v>6462</v>
      </c>
      <c r="S19" s="7">
        <v>22307.5</v>
      </c>
      <c r="T19" s="7">
        <v>3201196</v>
      </c>
      <c r="U19" s="7">
        <v>9195314.3294300009</v>
      </c>
      <c r="V19" s="7">
        <v>658663</v>
      </c>
      <c r="W19" s="7">
        <v>1844787.2235699999</v>
      </c>
      <c r="X19" s="7">
        <v>0</v>
      </c>
      <c r="Y19" s="7">
        <v>0</v>
      </c>
      <c r="Z19" s="7">
        <v>22004385</v>
      </c>
      <c r="AA19" s="7">
        <v>119066872.3</v>
      </c>
      <c r="AB19" s="7">
        <v>0</v>
      </c>
      <c r="AC19" s="7">
        <v>0</v>
      </c>
    </row>
    <row r="20" spans="1:29" x14ac:dyDescent="0.25">
      <c r="A20" s="14"/>
      <c r="B20" s="42">
        <v>10</v>
      </c>
      <c r="C20" s="5" t="s">
        <v>36</v>
      </c>
      <c r="D20" s="6">
        <v>28993</v>
      </c>
      <c r="E20" s="6">
        <v>35108</v>
      </c>
      <c r="F20" s="6">
        <v>1776451</v>
      </c>
      <c r="G20" s="6">
        <v>54677</v>
      </c>
      <c r="H20" s="6">
        <v>1048467</v>
      </c>
      <c r="I20" s="6">
        <v>5973244</v>
      </c>
      <c r="J20" s="6">
        <v>22098042</v>
      </c>
      <c r="K20" s="6">
        <v>252538286</v>
      </c>
      <c r="L20" s="7">
        <v>26002086</v>
      </c>
      <c r="M20" s="7">
        <v>130988639.03763995</v>
      </c>
      <c r="N20" s="7">
        <v>77915537</v>
      </c>
      <c r="O20" s="7">
        <v>293429716.7622</v>
      </c>
      <c r="P20" s="7">
        <v>0</v>
      </c>
      <c r="Q20" s="7">
        <v>0</v>
      </c>
      <c r="R20" s="7">
        <v>119867</v>
      </c>
      <c r="S20" s="7">
        <v>545149.1624400001</v>
      </c>
      <c r="T20" s="7">
        <v>24737725</v>
      </c>
      <c r="U20" s="7">
        <v>69504207.748339996</v>
      </c>
      <c r="V20" s="7">
        <v>5778575</v>
      </c>
      <c r="W20" s="7">
        <v>20146498.3968</v>
      </c>
      <c r="X20" s="7">
        <v>557</v>
      </c>
      <c r="Y20" s="7">
        <v>7209.2118600000003</v>
      </c>
      <c r="Z20" s="7">
        <v>146157438</v>
      </c>
      <c r="AA20" s="7">
        <v>845922512.95177007</v>
      </c>
      <c r="AB20" s="7">
        <v>7221</v>
      </c>
      <c r="AC20" s="7">
        <v>6186.04529</v>
      </c>
    </row>
    <row r="21" spans="1:29" x14ac:dyDescent="0.25">
      <c r="A21" s="14"/>
      <c r="B21" s="42">
        <v>11</v>
      </c>
      <c r="C21" s="5" t="s">
        <v>37</v>
      </c>
      <c r="D21" s="6">
        <v>2409</v>
      </c>
      <c r="E21" s="6">
        <v>216</v>
      </c>
      <c r="F21" s="6">
        <v>4989</v>
      </c>
      <c r="G21" s="6">
        <v>3568</v>
      </c>
      <c r="H21" s="6">
        <v>138</v>
      </c>
      <c r="I21" s="6">
        <v>1483551</v>
      </c>
      <c r="J21" s="6">
        <v>0</v>
      </c>
      <c r="K21" s="6">
        <v>14485979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712758</v>
      </c>
      <c r="U21" s="7">
        <v>2123393.1671700003</v>
      </c>
      <c r="V21" s="7">
        <v>187572</v>
      </c>
      <c r="W21" s="7">
        <v>550181.97221000004</v>
      </c>
      <c r="X21" s="7">
        <v>767</v>
      </c>
      <c r="Y21" s="7">
        <v>14038.299710000001</v>
      </c>
      <c r="Z21" s="7">
        <v>6143903</v>
      </c>
      <c r="AA21" s="7">
        <v>31406038.178540003</v>
      </c>
      <c r="AB21" s="7">
        <v>19</v>
      </c>
      <c r="AC21" s="7">
        <v>12.3</v>
      </c>
    </row>
    <row r="22" spans="1:29" x14ac:dyDescent="0.25">
      <c r="A22" s="14"/>
      <c r="B22" s="42">
        <v>12</v>
      </c>
      <c r="C22" s="5" t="s">
        <v>38</v>
      </c>
      <c r="D22" s="6">
        <v>7970</v>
      </c>
      <c r="E22" s="6">
        <v>686</v>
      </c>
      <c r="F22" s="6">
        <v>40772</v>
      </c>
      <c r="G22" s="6">
        <v>8629</v>
      </c>
      <c r="H22" s="6">
        <v>422222</v>
      </c>
      <c r="I22" s="6">
        <v>295635</v>
      </c>
      <c r="J22" s="6">
        <v>507820</v>
      </c>
      <c r="K22" s="6">
        <v>56178126</v>
      </c>
      <c r="L22" s="7">
        <v>459643</v>
      </c>
      <c r="M22" s="7">
        <v>2224169.5406200001</v>
      </c>
      <c r="N22" s="7">
        <v>2126791</v>
      </c>
      <c r="O22" s="7">
        <v>3551721.5469999998</v>
      </c>
      <c r="P22" s="7">
        <v>0</v>
      </c>
      <c r="Q22" s="7">
        <v>0</v>
      </c>
      <c r="R22" s="7">
        <v>7258</v>
      </c>
      <c r="S22" s="7">
        <v>34384.758000000002</v>
      </c>
      <c r="T22" s="7">
        <v>3408864</v>
      </c>
      <c r="U22" s="7">
        <v>8834246.1433700025</v>
      </c>
      <c r="V22" s="7">
        <v>753514</v>
      </c>
      <c r="W22" s="7">
        <v>2236462.4370500003</v>
      </c>
      <c r="X22" s="7">
        <v>2010</v>
      </c>
      <c r="Y22" s="7">
        <v>8078.5529999999999</v>
      </c>
      <c r="Z22" s="7">
        <v>41353720</v>
      </c>
      <c r="AA22" s="7">
        <v>128246232.838</v>
      </c>
      <c r="AB22" s="7">
        <v>16</v>
      </c>
      <c r="AC22" s="7">
        <v>12.497</v>
      </c>
    </row>
    <row r="23" spans="1:29" x14ac:dyDescent="0.25">
      <c r="A23" s="14"/>
      <c r="B23" s="12" t="s">
        <v>39</v>
      </c>
      <c r="C23" s="13"/>
      <c r="D23" s="3"/>
      <c r="E23" s="3"/>
      <c r="F23" s="3"/>
      <c r="G23" s="3"/>
      <c r="H23" s="3"/>
      <c r="I23" s="3"/>
      <c r="J23" s="3"/>
      <c r="K23" s="3"/>
      <c r="L23" s="4"/>
      <c r="M23" s="4"/>
      <c r="N23" s="4"/>
      <c r="O23" s="4"/>
      <c r="P23" s="4"/>
      <c r="Q23" s="4"/>
      <c r="R23" s="4"/>
      <c r="S23" s="4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s="11" customFormat="1" x14ac:dyDescent="0.25">
      <c r="A24" s="14"/>
      <c r="B24" s="42">
        <v>13</v>
      </c>
      <c r="C24" s="5" t="s">
        <v>40</v>
      </c>
      <c r="D24" s="6">
        <v>6786</v>
      </c>
      <c r="E24" s="6">
        <v>6010</v>
      </c>
      <c r="F24" s="6">
        <v>2602032</v>
      </c>
      <c r="G24" s="6">
        <v>0</v>
      </c>
      <c r="H24" s="6">
        <v>508176</v>
      </c>
      <c r="I24" s="6">
        <v>123910021</v>
      </c>
      <c r="J24" s="6">
        <v>16026533</v>
      </c>
      <c r="K24" s="6">
        <v>43424303</v>
      </c>
      <c r="L24" s="7">
        <v>50745975</v>
      </c>
      <c r="M24" s="7">
        <v>122231697.60255998</v>
      </c>
      <c r="N24" s="7">
        <v>30217125</v>
      </c>
      <c r="O24" s="7">
        <v>126865188.42159009</v>
      </c>
      <c r="P24" s="7">
        <v>0</v>
      </c>
      <c r="Q24" s="7">
        <v>0</v>
      </c>
      <c r="R24" s="7">
        <v>70450</v>
      </c>
      <c r="S24" s="7">
        <v>406193.79822000006</v>
      </c>
      <c r="T24" s="7">
        <v>3233461</v>
      </c>
      <c r="U24" s="7">
        <v>14203496.510450019</v>
      </c>
      <c r="V24" s="7">
        <v>1734020</v>
      </c>
      <c r="W24" s="7">
        <v>12421673.760789998</v>
      </c>
      <c r="X24" s="7">
        <v>9767</v>
      </c>
      <c r="Y24" s="7">
        <v>261922.18400000001</v>
      </c>
      <c r="Z24" s="7">
        <v>15245187</v>
      </c>
      <c r="AA24" s="7">
        <v>110338019.252</v>
      </c>
      <c r="AB24" s="7">
        <v>0</v>
      </c>
      <c r="AC24" s="7">
        <v>0</v>
      </c>
    </row>
    <row r="25" spans="1:29" x14ac:dyDescent="0.25">
      <c r="A25" s="14"/>
      <c r="B25" s="42">
        <v>14</v>
      </c>
      <c r="C25" s="5" t="s">
        <v>41</v>
      </c>
      <c r="D25" s="6">
        <v>391</v>
      </c>
      <c r="E25" s="6">
        <v>5</v>
      </c>
      <c r="F25" s="6">
        <v>73433</v>
      </c>
      <c r="G25" s="6">
        <v>0</v>
      </c>
      <c r="H25" s="6">
        <v>48087</v>
      </c>
      <c r="I25" s="6">
        <v>0</v>
      </c>
      <c r="J25" s="6">
        <v>12811</v>
      </c>
      <c r="K25" s="6">
        <v>6454392</v>
      </c>
      <c r="L25" s="7">
        <v>65217</v>
      </c>
      <c r="M25" s="7">
        <v>81317.324159999989</v>
      </c>
      <c r="N25" s="7">
        <v>3732</v>
      </c>
      <c r="O25" s="7">
        <v>28168.748090000001</v>
      </c>
      <c r="P25" s="7">
        <v>0</v>
      </c>
      <c r="Q25" s="7">
        <v>0</v>
      </c>
      <c r="R25" s="7">
        <v>369</v>
      </c>
      <c r="S25" s="7">
        <v>2197.8000000000002</v>
      </c>
      <c r="T25" s="7">
        <v>166538</v>
      </c>
      <c r="U25" s="7">
        <v>656414.3933</v>
      </c>
      <c r="V25" s="7">
        <v>56467</v>
      </c>
      <c r="W25" s="7">
        <v>243442.92611000006</v>
      </c>
      <c r="X25" s="7">
        <v>0</v>
      </c>
      <c r="Y25" s="7">
        <v>0</v>
      </c>
      <c r="Z25" s="7">
        <v>1914416</v>
      </c>
      <c r="AA25" s="7">
        <v>11794624.807559999</v>
      </c>
      <c r="AB25" s="7">
        <v>11</v>
      </c>
      <c r="AC25" s="7">
        <v>7.3</v>
      </c>
    </row>
    <row r="26" spans="1:29" x14ac:dyDescent="0.25">
      <c r="A26" s="14"/>
      <c r="B26" s="42">
        <v>15</v>
      </c>
      <c r="C26" s="5" t="s">
        <v>42</v>
      </c>
      <c r="D26" s="6">
        <v>1273</v>
      </c>
      <c r="E26" s="6">
        <v>491</v>
      </c>
      <c r="F26" s="6">
        <v>6622</v>
      </c>
      <c r="G26" s="6">
        <v>24489</v>
      </c>
      <c r="H26" s="6">
        <v>0</v>
      </c>
      <c r="I26" s="6">
        <v>75294</v>
      </c>
      <c r="J26" s="6">
        <v>51556</v>
      </c>
      <c r="K26" s="6">
        <v>3377516</v>
      </c>
      <c r="L26" s="7">
        <v>56892</v>
      </c>
      <c r="M26" s="7">
        <v>311429.13578000048</v>
      </c>
      <c r="N26" s="7">
        <v>30145</v>
      </c>
      <c r="O26" s="7">
        <v>345912.66275999881</v>
      </c>
      <c r="P26" s="7">
        <v>0</v>
      </c>
      <c r="Q26" s="7">
        <v>0</v>
      </c>
      <c r="R26" s="7">
        <v>208</v>
      </c>
      <c r="S26" s="7">
        <v>1187.5</v>
      </c>
      <c r="T26" s="7">
        <v>374473</v>
      </c>
      <c r="U26" s="7">
        <v>1353275.5781400001</v>
      </c>
      <c r="V26" s="7">
        <v>35578</v>
      </c>
      <c r="W26" s="7">
        <v>110175.87716</v>
      </c>
      <c r="X26" s="7">
        <v>0</v>
      </c>
      <c r="Y26" s="7">
        <v>0</v>
      </c>
      <c r="Z26" s="7">
        <v>2034600</v>
      </c>
      <c r="AA26" s="7">
        <v>13192966.163290001</v>
      </c>
      <c r="AB26" s="7">
        <v>0</v>
      </c>
      <c r="AC26" s="7">
        <v>0</v>
      </c>
    </row>
    <row r="27" spans="1:29" x14ac:dyDescent="0.25">
      <c r="A27" s="14"/>
      <c r="B27" s="42">
        <v>16</v>
      </c>
      <c r="C27" s="5" t="s">
        <v>43</v>
      </c>
      <c r="D27" s="6">
        <v>795</v>
      </c>
      <c r="E27" s="6">
        <v>37</v>
      </c>
      <c r="F27" s="6">
        <v>0</v>
      </c>
      <c r="G27" s="6">
        <v>0</v>
      </c>
      <c r="H27" s="6">
        <v>19628</v>
      </c>
      <c r="I27" s="6">
        <v>0</v>
      </c>
      <c r="J27" s="6">
        <v>195485</v>
      </c>
      <c r="K27" s="6">
        <v>978153</v>
      </c>
      <c r="L27" s="7">
        <v>166832</v>
      </c>
      <c r="M27" s="7">
        <v>580418.25407999987</v>
      </c>
      <c r="N27" s="7">
        <v>2213031</v>
      </c>
      <c r="O27" s="7">
        <v>2028741.2998299999</v>
      </c>
      <c r="P27" s="7">
        <v>0</v>
      </c>
      <c r="Q27" s="7">
        <v>0</v>
      </c>
      <c r="R27" s="7">
        <v>0</v>
      </c>
      <c r="S27" s="7">
        <v>0</v>
      </c>
      <c r="T27" s="7">
        <v>93465</v>
      </c>
      <c r="U27" s="7">
        <v>269639.44205000001</v>
      </c>
      <c r="V27" s="7">
        <v>7227</v>
      </c>
      <c r="W27" s="7">
        <v>48470.78426</v>
      </c>
      <c r="X27" s="7">
        <v>0</v>
      </c>
      <c r="Y27" s="7">
        <v>0</v>
      </c>
      <c r="Z27" s="7">
        <v>366458</v>
      </c>
      <c r="AA27" s="7">
        <v>2139807.7999999998</v>
      </c>
      <c r="AB27" s="7">
        <v>0</v>
      </c>
      <c r="AC27" s="7">
        <v>0</v>
      </c>
    </row>
    <row r="28" spans="1:29" x14ac:dyDescent="0.25">
      <c r="A28" s="14"/>
      <c r="B28" s="42">
        <v>17</v>
      </c>
      <c r="C28" s="5" t="s">
        <v>44</v>
      </c>
      <c r="D28" s="6">
        <v>441</v>
      </c>
      <c r="E28" s="6">
        <v>4</v>
      </c>
      <c r="F28" s="6">
        <v>0</v>
      </c>
      <c r="G28" s="6">
        <v>0</v>
      </c>
      <c r="H28" s="6">
        <v>0</v>
      </c>
      <c r="I28" s="6">
        <v>0</v>
      </c>
      <c r="J28" s="6">
        <v>16015</v>
      </c>
      <c r="K28" s="6">
        <v>1360988</v>
      </c>
      <c r="L28" s="7">
        <v>5747</v>
      </c>
      <c r="M28" s="7">
        <v>16646.44701</v>
      </c>
      <c r="N28" s="7">
        <v>9053</v>
      </c>
      <c r="O28" s="7">
        <v>30032.121440000003</v>
      </c>
      <c r="P28" s="7">
        <v>14431</v>
      </c>
      <c r="Q28" s="7">
        <v>11099.674720000001</v>
      </c>
      <c r="R28" s="7">
        <v>47</v>
      </c>
      <c r="S28" s="7">
        <v>185.40600000000001</v>
      </c>
      <c r="T28" s="7">
        <v>70049</v>
      </c>
      <c r="U28" s="7">
        <v>238073.12002</v>
      </c>
      <c r="V28" s="7">
        <v>51918</v>
      </c>
      <c r="W28" s="7">
        <v>221127.69190000001</v>
      </c>
      <c r="X28" s="7">
        <v>240</v>
      </c>
      <c r="Y28" s="7">
        <v>7385.2740000000003</v>
      </c>
      <c r="Z28" s="7">
        <v>246831</v>
      </c>
      <c r="AA28" s="7">
        <v>1778774.4850000001</v>
      </c>
      <c r="AB28" s="7">
        <v>0</v>
      </c>
      <c r="AC28" s="7">
        <v>0</v>
      </c>
    </row>
    <row r="29" spans="1:29" x14ac:dyDescent="0.25">
      <c r="A29" s="14"/>
      <c r="B29" s="42">
        <v>18</v>
      </c>
      <c r="C29" s="5" t="s">
        <v>45</v>
      </c>
      <c r="D29" s="6">
        <v>246</v>
      </c>
      <c r="E29" s="6">
        <v>37</v>
      </c>
      <c r="F29" s="6">
        <v>1601</v>
      </c>
      <c r="G29" s="6">
        <v>0</v>
      </c>
      <c r="H29" s="6">
        <v>0</v>
      </c>
      <c r="I29" s="6">
        <v>43782</v>
      </c>
      <c r="J29" s="6">
        <v>10911</v>
      </c>
      <c r="K29" s="6">
        <v>621286</v>
      </c>
      <c r="L29" s="7">
        <v>23778</v>
      </c>
      <c r="M29" s="7">
        <v>61160.60557</v>
      </c>
      <c r="N29" s="7">
        <v>7723</v>
      </c>
      <c r="O29" s="7">
        <v>32142.287420000001</v>
      </c>
      <c r="P29" s="7">
        <v>0</v>
      </c>
      <c r="Q29" s="7">
        <v>0</v>
      </c>
      <c r="R29" s="7">
        <v>284</v>
      </c>
      <c r="S29" s="7">
        <v>995.5</v>
      </c>
      <c r="T29" s="7">
        <v>103012</v>
      </c>
      <c r="U29" s="7">
        <v>232077.29242999991</v>
      </c>
      <c r="V29" s="7">
        <v>3546</v>
      </c>
      <c r="W29" s="7">
        <v>11367.578959999997</v>
      </c>
      <c r="X29" s="7">
        <v>0</v>
      </c>
      <c r="Y29" s="7">
        <v>0</v>
      </c>
      <c r="Z29" s="7">
        <v>388715</v>
      </c>
      <c r="AA29" s="7">
        <v>1848244.1675</v>
      </c>
      <c r="AB29" s="7">
        <v>0</v>
      </c>
      <c r="AC29" s="7">
        <v>0</v>
      </c>
    </row>
    <row r="30" spans="1:29" x14ac:dyDescent="0.25">
      <c r="A30" s="14"/>
      <c r="B30" s="42">
        <v>19</v>
      </c>
      <c r="C30" s="5" t="s">
        <v>46</v>
      </c>
      <c r="D30" s="6">
        <v>1825</v>
      </c>
      <c r="E30" s="6">
        <v>287</v>
      </c>
      <c r="F30" s="6">
        <v>27887</v>
      </c>
      <c r="G30" s="6">
        <v>1050</v>
      </c>
      <c r="H30" s="6">
        <v>0</v>
      </c>
      <c r="I30" s="6">
        <v>6353146</v>
      </c>
      <c r="J30" s="6">
        <v>2224017</v>
      </c>
      <c r="K30" s="6">
        <v>14073657</v>
      </c>
      <c r="L30" s="7">
        <v>4118341</v>
      </c>
      <c r="M30" s="7">
        <v>11166939.667609999</v>
      </c>
      <c r="N30" s="7">
        <v>6428087</v>
      </c>
      <c r="O30" s="7">
        <v>15591371.09554</v>
      </c>
      <c r="P30" s="7">
        <v>0</v>
      </c>
      <c r="Q30" s="7">
        <v>0</v>
      </c>
      <c r="R30" s="7">
        <v>6022</v>
      </c>
      <c r="S30" s="7">
        <v>30850.192509999997</v>
      </c>
      <c r="T30" s="7">
        <v>1930995</v>
      </c>
      <c r="U30" s="7">
        <v>6355472.3744699992</v>
      </c>
      <c r="V30" s="7">
        <v>1007685</v>
      </c>
      <c r="W30" s="7">
        <v>4487056.2157799993</v>
      </c>
      <c r="X30" s="7">
        <v>3284</v>
      </c>
      <c r="Y30" s="7">
        <v>49912.108209999999</v>
      </c>
      <c r="Z30" s="7">
        <v>6743852</v>
      </c>
      <c r="AA30" s="7">
        <v>39095420.093000002</v>
      </c>
      <c r="AB30" s="7">
        <v>0</v>
      </c>
      <c r="AC30" s="7">
        <v>0</v>
      </c>
    </row>
    <row r="31" spans="1:29" x14ac:dyDescent="0.25">
      <c r="A31" s="14"/>
      <c r="B31" s="42">
        <v>20</v>
      </c>
      <c r="C31" s="5" t="s">
        <v>47</v>
      </c>
      <c r="D31" s="6">
        <v>13084</v>
      </c>
      <c r="E31" s="6">
        <v>8088</v>
      </c>
      <c r="F31" s="6">
        <v>1776504</v>
      </c>
      <c r="G31" s="6">
        <v>1758</v>
      </c>
      <c r="H31" s="6">
        <v>2230059</v>
      </c>
      <c r="I31" s="6">
        <v>1160841</v>
      </c>
      <c r="J31" s="6">
        <v>26312515</v>
      </c>
      <c r="K31" s="6">
        <v>62789132</v>
      </c>
      <c r="L31" s="7">
        <v>107331319</v>
      </c>
      <c r="M31" s="7">
        <v>221199191.11719</v>
      </c>
      <c r="N31" s="7">
        <v>43268668</v>
      </c>
      <c r="O31" s="7">
        <v>432178342.65824997</v>
      </c>
      <c r="P31" s="7">
        <v>0</v>
      </c>
      <c r="Q31" s="7">
        <v>0</v>
      </c>
      <c r="R31" s="7">
        <v>185609</v>
      </c>
      <c r="S31" s="7">
        <v>1277832.7370999998</v>
      </c>
      <c r="T31" s="7">
        <v>7138891</v>
      </c>
      <c r="U31" s="7">
        <v>36445318.222139999</v>
      </c>
      <c r="V31" s="7">
        <v>5942356</v>
      </c>
      <c r="W31" s="7">
        <v>38097385.300959997</v>
      </c>
      <c r="X31" s="7">
        <v>42714</v>
      </c>
      <c r="Y31" s="7">
        <v>991869.66325999983</v>
      </c>
      <c r="Z31" s="7">
        <v>30080015</v>
      </c>
      <c r="AA31" s="7">
        <v>230035197.44400001</v>
      </c>
      <c r="AB31" s="7">
        <v>14</v>
      </c>
      <c r="AC31" s="7">
        <v>14.906559999999999</v>
      </c>
    </row>
    <row r="32" spans="1:29" x14ac:dyDescent="0.25">
      <c r="A32" s="14"/>
      <c r="B32" s="42">
        <v>21</v>
      </c>
      <c r="C32" s="5" t="s">
        <v>48</v>
      </c>
      <c r="D32" s="6">
        <v>9544</v>
      </c>
      <c r="E32" s="6">
        <v>2538</v>
      </c>
      <c r="F32" s="6">
        <v>2153965</v>
      </c>
      <c r="G32" s="6">
        <v>8424</v>
      </c>
      <c r="H32" s="6">
        <v>420578</v>
      </c>
      <c r="I32" s="6">
        <v>3834359</v>
      </c>
      <c r="J32" s="6">
        <v>19051092</v>
      </c>
      <c r="K32" s="6">
        <v>31760754</v>
      </c>
      <c r="L32" s="7">
        <v>17224820</v>
      </c>
      <c r="M32" s="7">
        <v>99144515.037250116</v>
      </c>
      <c r="N32" s="7">
        <v>80107792</v>
      </c>
      <c r="O32" s="7">
        <v>266074344.59902087</v>
      </c>
      <c r="P32" s="7">
        <v>128</v>
      </c>
      <c r="Q32" s="7">
        <v>13419.5</v>
      </c>
      <c r="R32" s="7">
        <v>52874</v>
      </c>
      <c r="S32" s="7">
        <v>296333.63199999998</v>
      </c>
      <c r="T32" s="7">
        <v>3801444</v>
      </c>
      <c r="U32" s="7">
        <v>22131908.373499967</v>
      </c>
      <c r="V32" s="7">
        <v>2963389</v>
      </c>
      <c r="W32" s="7">
        <v>23193900.789039753</v>
      </c>
      <c r="X32" s="7">
        <v>3948</v>
      </c>
      <c r="Y32" s="7">
        <v>96881.410999999993</v>
      </c>
      <c r="Z32" s="7">
        <v>11578104</v>
      </c>
      <c r="AA32" s="7">
        <v>101786802.097</v>
      </c>
      <c r="AB32" s="7">
        <v>0</v>
      </c>
      <c r="AC32" s="7">
        <v>0</v>
      </c>
    </row>
    <row r="33" spans="1:29" x14ac:dyDescent="0.25">
      <c r="A33" s="14"/>
      <c r="B33" s="42">
        <v>22</v>
      </c>
      <c r="C33" s="5" t="s">
        <v>49</v>
      </c>
      <c r="D33" s="6">
        <v>2416</v>
      </c>
      <c r="E33" s="6">
        <v>595</v>
      </c>
      <c r="F33" s="6">
        <v>13646</v>
      </c>
      <c r="G33" s="6">
        <v>2470</v>
      </c>
      <c r="H33" s="6">
        <v>0</v>
      </c>
      <c r="I33" s="6">
        <v>628603</v>
      </c>
      <c r="J33" s="6">
        <v>48449</v>
      </c>
      <c r="K33" s="6">
        <v>11538035</v>
      </c>
      <c r="L33" s="7">
        <v>79952</v>
      </c>
      <c r="M33" s="7">
        <v>407985.30137</v>
      </c>
      <c r="N33" s="7">
        <v>84926</v>
      </c>
      <c r="O33" s="7">
        <v>351553.93330000003</v>
      </c>
      <c r="P33" s="7">
        <v>0</v>
      </c>
      <c r="Q33" s="7">
        <v>0</v>
      </c>
      <c r="R33" s="7">
        <v>436</v>
      </c>
      <c r="S33" s="7">
        <v>2623.5626200000002</v>
      </c>
      <c r="T33" s="7">
        <v>803815</v>
      </c>
      <c r="U33" s="7">
        <v>2245476.5199699793</v>
      </c>
      <c r="V33" s="7">
        <v>153445</v>
      </c>
      <c r="W33" s="7">
        <v>549644.57700999931</v>
      </c>
      <c r="X33" s="7">
        <v>0</v>
      </c>
      <c r="Y33" s="7">
        <v>0</v>
      </c>
      <c r="Z33" s="7">
        <v>4264332</v>
      </c>
      <c r="AA33" s="7">
        <v>24238044.214000002</v>
      </c>
      <c r="AB33" s="7">
        <v>121</v>
      </c>
      <c r="AC33" s="7">
        <v>50.767000000000003</v>
      </c>
    </row>
    <row r="34" spans="1:29" x14ac:dyDescent="0.25">
      <c r="A34" s="14"/>
      <c r="B34" s="42">
        <v>23</v>
      </c>
      <c r="C34" s="5" t="s">
        <v>50</v>
      </c>
      <c r="D34" s="6">
        <v>845</v>
      </c>
      <c r="E34" s="6">
        <v>205</v>
      </c>
      <c r="F34" s="6">
        <v>36221</v>
      </c>
      <c r="G34" s="6">
        <v>6627</v>
      </c>
      <c r="H34" s="6">
        <v>0</v>
      </c>
      <c r="I34" s="6">
        <v>249251</v>
      </c>
      <c r="J34" s="6">
        <v>4548574</v>
      </c>
      <c r="K34" s="6">
        <v>6979360</v>
      </c>
      <c r="L34" s="7">
        <v>17513699</v>
      </c>
      <c r="M34" s="7">
        <v>28627906.567000002</v>
      </c>
      <c r="N34" s="7">
        <v>3218327</v>
      </c>
      <c r="O34" s="7">
        <v>22182561.316</v>
      </c>
      <c r="P34" s="7">
        <v>0</v>
      </c>
      <c r="Q34" s="7">
        <v>0</v>
      </c>
      <c r="R34" s="7">
        <v>23815</v>
      </c>
      <c r="S34" s="7">
        <v>130894.39999999999</v>
      </c>
      <c r="T34" s="7">
        <v>514049</v>
      </c>
      <c r="U34" s="7">
        <v>2290533.9574199999</v>
      </c>
      <c r="V34" s="7">
        <v>356388</v>
      </c>
      <c r="W34" s="7">
        <v>2846091.8785999999</v>
      </c>
      <c r="X34" s="7">
        <v>0</v>
      </c>
      <c r="Y34" s="7">
        <v>0</v>
      </c>
      <c r="Z34" s="7">
        <v>2886850</v>
      </c>
      <c r="AA34" s="7">
        <v>18452006.252999999</v>
      </c>
      <c r="AB34" s="7">
        <v>0</v>
      </c>
      <c r="AC34" s="7">
        <v>0</v>
      </c>
    </row>
    <row r="35" spans="1:29" x14ac:dyDescent="0.25">
      <c r="A35" s="14"/>
      <c r="B35" s="42">
        <v>24</v>
      </c>
      <c r="C35" s="5" t="s">
        <v>51</v>
      </c>
      <c r="D35" s="6">
        <v>2096</v>
      </c>
      <c r="E35" s="6">
        <v>774</v>
      </c>
      <c r="F35" s="6">
        <v>110198</v>
      </c>
      <c r="G35" s="6">
        <v>0</v>
      </c>
      <c r="H35" s="6">
        <v>12178</v>
      </c>
      <c r="I35" s="6">
        <v>6941035</v>
      </c>
      <c r="J35" s="6">
        <v>3024303</v>
      </c>
      <c r="K35" s="6">
        <v>11988314</v>
      </c>
      <c r="L35" s="7">
        <v>2573383</v>
      </c>
      <c r="M35" s="7">
        <v>17333016.706999999</v>
      </c>
      <c r="N35" s="7">
        <v>10689237</v>
      </c>
      <c r="O35" s="7">
        <v>34371565.344999999</v>
      </c>
      <c r="P35" s="7">
        <v>0</v>
      </c>
      <c r="Q35" s="7">
        <v>0</v>
      </c>
      <c r="R35" s="7">
        <v>17480</v>
      </c>
      <c r="S35" s="7">
        <v>95931.494999999995</v>
      </c>
      <c r="T35" s="7">
        <v>474653</v>
      </c>
      <c r="U35" s="7">
        <v>1805570.605</v>
      </c>
      <c r="V35" s="7">
        <v>431897</v>
      </c>
      <c r="W35" s="7">
        <v>2336026.83</v>
      </c>
      <c r="X35" s="7">
        <v>751</v>
      </c>
      <c r="Y35" s="7">
        <v>64865.444750000002</v>
      </c>
      <c r="Z35" s="7">
        <v>2941914</v>
      </c>
      <c r="AA35" s="7">
        <v>19019758.704</v>
      </c>
      <c r="AB35" s="7">
        <v>0</v>
      </c>
      <c r="AC35" s="7">
        <v>0</v>
      </c>
    </row>
    <row r="36" spans="1:29" x14ac:dyDescent="0.25">
      <c r="A36" s="14"/>
      <c r="B36" s="42">
        <v>25</v>
      </c>
      <c r="C36" s="5" t="s">
        <v>52</v>
      </c>
      <c r="D36" s="6">
        <v>967</v>
      </c>
      <c r="E36" s="6">
        <v>643</v>
      </c>
      <c r="F36" s="6">
        <v>14051</v>
      </c>
      <c r="G36" s="6">
        <v>1409</v>
      </c>
      <c r="H36" s="6">
        <v>0</v>
      </c>
      <c r="I36" s="6">
        <v>631081</v>
      </c>
      <c r="J36" s="6">
        <v>141558</v>
      </c>
      <c r="K36" s="6">
        <v>5248741</v>
      </c>
      <c r="L36" s="7">
        <v>367773</v>
      </c>
      <c r="M36" s="7">
        <v>1865856.8673800002</v>
      </c>
      <c r="N36" s="7">
        <v>87176</v>
      </c>
      <c r="O36" s="7">
        <v>398581.61398999998</v>
      </c>
      <c r="P36" s="7">
        <v>0</v>
      </c>
      <c r="Q36" s="7">
        <v>0</v>
      </c>
      <c r="R36" s="7">
        <v>10742</v>
      </c>
      <c r="S36" s="7">
        <v>51142.354490000005</v>
      </c>
      <c r="T36" s="7">
        <v>567147</v>
      </c>
      <c r="U36" s="7">
        <v>1573293.73774</v>
      </c>
      <c r="V36" s="7">
        <v>366428</v>
      </c>
      <c r="W36" s="7">
        <v>436666.99189999996</v>
      </c>
      <c r="X36" s="7">
        <v>0</v>
      </c>
      <c r="Y36" s="7">
        <v>0</v>
      </c>
      <c r="Z36" s="7">
        <v>5072774</v>
      </c>
      <c r="AA36" s="7">
        <v>29994199.039999999</v>
      </c>
      <c r="AB36" s="7">
        <v>0</v>
      </c>
      <c r="AC36" s="7">
        <v>0</v>
      </c>
    </row>
    <row r="37" spans="1:29" x14ac:dyDescent="0.25">
      <c r="A37" s="14"/>
      <c r="B37" s="42">
        <v>26</v>
      </c>
      <c r="C37" s="5" t="s">
        <v>53</v>
      </c>
      <c r="D37" s="6">
        <v>976</v>
      </c>
      <c r="E37" s="6">
        <v>498</v>
      </c>
      <c r="F37" s="6">
        <v>9079</v>
      </c>
      <c r="G37" s="6">
        <v>0</v>
      </c>
      <c r="H37" s="6">
        <v>0</v>
      </c>
      <c r="I37" s="6">
        <v>144404</v>
      </c>
      <c r="J37" s="6">
        <v>0</v>
      </c>
      <c r="K37" s="6">
        <v>5581032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561832</v>
      </c>
      <c r="U37" s="7">
        <v>1293045.5507999999</v>
      </c>
      <c r="V37" s="7">
        <v>43406</v>
      </c>
      <c r="W37" s="7">
        <v>157250.30015999998</v>
      </c>
      <c r="X37" s="7">
        <v>0</v>
      </c>
      <c r="Y37" s="7">
        <v>0</v>
      </c>
      <c r="Z37" s="7">
        <v>3229907</v>
      </c>
      <c r="AA37" s="7">
        <v>17338171.258000001</v>
      </c>
      <c r="AB37" s="7">
        <v>0</v>
      </c>
      <c r="AC37" s="7">
        <v>0</v>
      </c>
    </row>
    <row r="38" spans="1:29" x14ac:dyDescent="0.25">
      <c r="A38" s="14"/>
      <c r="B38" s="42">
        <v>27</v>
      </c>
      <c r="C38" s="5" t="s">
        <v>54</v>
      </c>
      <c r="D38" s="6">
        <v>1597</v>
      </c>
      <c r="E38" s="6">
        <v>616</v>
      </c>
      <c r="F38" s="6">
        <v>6655</v>
      </c>
      <c r="G38" s="6">
        <v>162</v>
      </c>
      <c r="H38" s="6">
        <v>47247</v>
      </c>
      <c r="I38" s="6">
        <v>7405</v>
      </c>
      <c r="J38" s="6">
        <v>9535</v>
      </c>
      <c r="K38" s="6">
        <v>5336127</v>
      </c>
      <c r="L38" s="7">
        <v>20995</v>
      </c>
      <c r="M38" s="7">
        <v>148827.05523</v>
      </c>
      <c r="N38" s="7">
        <v>8925</v>
      </c>
      <c r="O38" s="7">
        <v>120794.36455</v>
      </c>
      <c r="P38" s="7">
        <v>0</v>
      </c>
      <c r="Q38" s="7">
        <v>0</v>
      </c>
      <c r="R38" s="7">
        <v>403</v>
      </c>
      <c r="S38" s="7">
        <v>3100.6</v>
      </c>
      <c r="T38" s="7">
        <v>690107</v>
      </c>
      <c r="U38" s="7">
        <v>2082344.5127000008</v>
      </c>
      <c r="V38" s="7">
        <v>97424</v>
      </c>
      <c r="W38" s="7">
        <v>505531.18138999876</v>
      </c>
      <c r="X38" s="7">
        <v>0</v>
      </c>
      <c r="Y38" s="7">
        <v>0</v>
      </c>
      <c r="Z38" s="7">
        <v>3475558</v>
      </c>
      <c r="AA38" s="7">
        <v>19391960.020739999</v>
      </c>
      <c r="AB38" s="7">
        <v>0</v>
      </c>
      <c r="AC38" s="7">
        <v>0</v>
      </c>
    </row>
    <row r="39" spans="1:29" x14ac:dyDescent="0.25">
      <c r="A39" s="14"/>
      <c r="B39" s="42">
        <v>28</v>
      </c>
      <c r="C39" s="5" t="s">
        <v>55</v>
      </c>
      <c r="D39" s="6">
        <v>2014</v>
      </c>
      <c r="E39" s="6">
        <v>713</v>
      </c>
      <c r="F39" s="6">
        <v>79218</v>
      </c>
      <c r="G39" s="6">
        <v>0</v>
      </c>
      <c r="H39" s="6">
        <v>172785</v>
      </c>
      <c r="I39" s="6">
        <v>810349</v>
      </c>
      <c r="J39" s="6">
        <v>4664877</v>
      </c>
      <c r="K39" s="6">
        <v>36979864</v>
      </c>
      <c r="L39" s="7">
        <v>15981419</v>
      </c>
      <c r="M39" s="7">
        <v>29444265.690470003</v>
      </c>
      <c r="N39" s="7">
        <v>4459664</v>
      </c>
      <c r="O39" s="7">
        <v>35559396.469250001</v>
      </c>
      <c r="P39" s="7">
        <v>0</v>
      </c>
      <c r="Q39" s="7">
        <v>0</v>
      </c>
      <c r="R39" s="7">
        <v>30678</v>
      </c>
      <c r="S39" s="7">
        <v>169043.17283</v>
      </c>
      <c r="T39" s="7">
        <v>1653213</v>
      </c>
      <c r="U39" s="7">
        <v>5285608.4859999996</v>
      </c>
      <c r="V39" s="7">
        <v>2049230</v>
      </c>
      <c r="W39" s="7">
        <v>7695136.1210000003</v>
      </c>
      <c r="X39" s="7">
        <v>0</v>
      </c>
      <c r="Y39" s="7">
        <v>0</v>
      </c>
      <c r="Z39" s="7">
        <v>9233050</v>
      </c>
      <c r="AA39" s="7">
        <v>54925768.130569965</v>
      </c>
      <c r="AB39" s="7">
        <v>0</v>
      </c>
      <c r="AC39" s="7">
        <v>0</v>
      </c>
    </row>
    <row r="40" spans="1:29" x14ac:dyDescent="0.25">
      <c r="A40" s="14"/>
      <c r="B40" s="42">
        <v>29</v>
      </c>
      <c r="C40" s="5" t="s">
        <v>56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65</v>
      </c>
      <c r="J40" s="6">
        <v>0</v>
      </c>
      <c r="K40" s="6">
        <v>151749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9915</v>
      </c>
      <c r="U40" s="7">
        <v>21289.845890000001</v>
      </c>
      <c r="V40" s="7">
        <v>3163</v>
      </c>
      <c r="W40" s="7">
        <v>9181.8545799999993</v>
      </c>
      <c r="X40" s="7">
        <v>0</v>
      </c>
      <c r="Y40" s="7">
        <v>0</v>
      </c>
      <c r="Z40" s="7">
        <v>56960</v>
      </c>
      <c r="AA40" s="7">
        <v>303607.09999999998</v>
      </c>
      <c r="AB40" s="7">
        <v>0</v>
      </c>
      <c r="AC40" s="7">
        <v>0</v>
      </c>
    </row>
    <row r="41" spans="1:29" x14ac:dyDescent="0.25">
      <c r="A41" s="14"/>
      <c r="B41" s="42">
        <v>30</v>
      </c>
      <c r="C41" s="5" t="s">
        <v>57</v>
      </c>
      <c r="D41" s="6">
        <v>384</v>
      </c>
      <c r="E41" s="6">
        <v>31</v>
      </c>
      <c r="F41" s="6">
        <v>2645836</v>
      </c>
      <c r="G41" s="6">
        <v>0</v>
      </c>
      <c r="H41" s="6">
        <v>1595</v>
      </c>
      <c r="I41" s="6">
        <v>52434</v>
      </c>
      <c r="J41" s="6">
        <v>4626035</v>
      </c>
      <c r="K41" s="6">
        <v>1682774</v>
      </c>
      <c r="L41" s="7">
        <v>4434438</v>
      </c>
      <c r="M41" s="7">
        <v>27223771.315919999</v>
      </c>
      <c r="N41" s="7">
        <v>7041739</v>
      </c>
      <c r="O41" s="7">
        <v>49034577.203410007</v>
      </c>
      <c r="P41" s="7">
        <v>0</v>
      </c>
      <c r="Q41" s="7">
        <v>0</v>
      </c>
      <c r="R41" s="7">
        <v>32545</v>
      </c>
      <c r="S41" s="7">
        <v>174769.26406000002</v>
      </c>
      <c r="T41" s="7">
        <v>103737</v>
      </c>
      <c r="U41" s="7">
        <v>402265.51490999997</v>
      </c>
      <c r="V41" s="7">
        <v>71586</v>
      </c>
      <c r="W41" s="7">
        <v>498283.5679100001</v>
      </c>
      <c r="X41" s="7">
        <v>67</v>
      </c>
      <c r="Y41" s="7">
        <v>5715.1967500000001</v>
      </c>
      <c r="Z41" s="7">
        <v>378752</v>
      </c>
      <c r="AA41" s="7">
        <v>2306067.80938</v>
      </c>
      <c r="AB41" s="7">
        <v>0</v>
      </c>
      <c r="AC41" s="7">
        <v>0</v>
      </c>
    </row>
    <row r="42" spans="1:29" x14ac:dyDescent="0.25">
      <c r="A42" s="14"/>
      <c r="B42" s="42">
        <v>31</v>
      </c>
      <c r="C42" s="5" t="s">
        <v>58</v>
      </c>
      <c r="D42" s="6">
        <v>913</v>
      </c>
      <c r="E42" s="6">
        <v>360</v>
      </c>
      <c r="F42" s="6">
        <v>13806</v>
      </c>
      <c r="G42" s="6">
        <v>0</v>
      </c>
      <c r="H42" s="6">
        <v>34043</v>
      </c>
      <c r="I42" s="6">
        <v>114663</v>
      </c>
      <c r="J42" s="6">
        <v>343461</v>
      </c>
      <c r="K42" s="6">
        <v>4164495</v>
      </c>
      <c r="L42" s="7">
        <v>446363</v>
      </c>
      <c r="M42" s="7">
        <v>2149369.62463</v>
      </c>
      <c r="N42" s="7">
        <v>640069</v>
      </c>
      <c r="O42" s="7">
        <v>3259030.8412500001</v>
      </c>
      <c r="P42" s="7">
        <v>0</v>
      </c>
      <c r="Q42" s="7">
        <v>0</v>
      </c>
      <c r="R42" s="7">
        <v>0</v>
      </c>
      <c r="S42" s="7">
        <v>0</v>
      </c>
      <c r="T42" s="7">
        <v>682267</v>
      </c>
      <c r="U42" s="7">
        <v>2175669.7349999999</v>
      </c>
      <c r="V42" s="7">
        <v>143966</v>
      </c>
      <c r="W42" s="7">
        <v>1148506.79792</v>
      </c>
      <c r="X42" s="7">
        <v>0</v>
      </c>
      <c r="Y42" s="7">
        <v>0</v>
      </c>
      <c r="Z42" s="7">
        <v>2447790</v>
      </c>
      <c r="AA42" s="7">
        <v>13762593.199999999</v>
      </c>
      <c r="AB42" s="7">
        <v>0</v>
      </c>
      <c r="AC42" s="7">
        <v>0</v>
      </c>
    </row>
    <row r="43" spans="1:29" x14ac:dyDescent="0.25">
      <c r="A43" s="14"/>
      <c r="B43" s="42">
        <v>32</v>
      </c>
      <c r="C43" s="5" t="s">
        <v>59</v>
      </c>
      <c r="D43" s="6">
        <v>510</v>
      </c>
      <c r="E43" s="6">
        <v>642</v>
      </c>
      <c r="F43" s="6">
        <v>704</v>
      </c>
      <c r="G43" s="6">
        <v>0</v>
      </c>
      <c r="H43" s="6">
        <v>0</v>
      </c>
      <c r="I43" s="6">
        <v>202599</v>
      </c>
      <c r="J43" s="6">
        <v>18012</v>
      </c>
      <c r="K43" s="6">
        <v>2620090</v>
      </c>
      <c r="L43" s="7">
        <v>38871</v>
      </c>
      <c r="M43" s="7">
        <v>188531.46046</v>
      </c>
      <c r="N43" s="7">
        <v>16324</v>
      </c>
      <c r="O43" s="7">
        <v>106873.00109000001</v>
      </c>
      <c r="P43" s="7">
        <v>0</v>
      </c>
      <c r="Q43" s="7">
        <v>0</v>
      </c>
      <c r="R43" s="7">
        <v>1667</v>
      </c>
      <c r="S43" s="7">
        <v>6945.9</v>
      </c>
      <c r="T43" s="7">
        <v>254604</v>
      </c>
      <c r="U43" s="7">
        <v>1173323.6809799999</v>
      </c>
      <c r="V43" s="7">
        <v>26326</v>
      </c>
      <c r="W43" s="7">
        <v>184975.79107000001</v>
      </c>
      <c r="X43" s="7">
        <v>76</v>
      </c>
      <c r="Y43" s="7">
        <v>248.876</v>
      </c>
      <c r="Z43" s="7">
        <v>3787579</v>
      </c>
      <c r="AA43" s="7">
        <v>21423440.600000001</v>
      </c>
      <c r="AB43" s="7">
        <v>0</v>
      </c>
      <c r="AC43" s="7">
        <v>0</v>
      </c>
    </row>
    <row r="44" spans="1:29" x14ac:dyDescent="0.25">
      <c r="A44" s="14"/>
      <c r="B44" s="42">
        <v>33</v>
      </c>
      <c r="C44" s="5" t="s">
        <v>60</v>
      </c>
      <c r="D44" s="6">
        <v>1250</v>
      </c>
      <c r="E44" s="6">
        <v>113</v>
      </c>
      <c r="F44" s="6">
        <v>108090</v>
      </c>
      <c r="G44" s="6">
        <v>76031</v>
      </c>
      <c r="H44" s="6">
        <v>112961</v>
      </c>
      <c r="I44" s="6">
        <v>589399487</v>
      </c>
      <c r="J44" s="6">
        <v>2903773</v>
      </c>
      <c r="K44" s="6">
        <v>5372739</v>
      </c>
      <c r="L44" s="7">
        <v>15844212</v>
      </c>
      <c r="M44" s="7">
        <v>26211603.126899999</v>
      </c>
      <c r="N44" s="7">
        <v>1847462</v>
      </c>
      <c r="O44" s="7">
        <v>16299294.892250001</v>
      </c>
      <c r="P44" s="7">
        <v>0</v>
      </c>
      <c r="Q44" s="7">
        <v>0</v>
      </c>
      <c r="R44" s="7">
        <v>9524</v>
      </c>
      <c r="S44" s="7">
        <v>52582.905899999998</v>
      </c>
      <c r="T44" s="7">
        <v>397633</v>
      </c>
      <c r="U44" s="7">
        <v>1726674.2898899922</v>
      </c>
      <c r="V44" s="7">
        <v>71691</v>
      </c>
      <c r="W44" s="7">
        <v>736461.13073999062</v>
      </c>
      <c r="X44" s="7">
        <v>13</v>
      </c>
      <c r="Y44" s="7">
        <v>126.121</v>
      </c>
      <c r="Z44" s="7">
        <v>1645995</v>
      </c>
      <c r="AA44" s="7">
        <v>10940587.187000001</v>
      </c>
      <c r="AB44" s="7">
        <v>0</v>
      </c>
      <c r="AC44" s="7">
        <v>0</v>
      </c>
    </row>
    <row r="45" spans="1:29" x14ac:dyDescent="0.25">
      <c r="A45" s="14"/>
      <c r="B45" s="12" t="s">
        <v>61</v>
      </c>
      <c r="C45" s="13"/>
      <c r="D45" s="3"/>
      <c r="E45" s="3"/>
      <c r="F45" s="3"/>
      <c r="G45" s="3"/>
      <c r="H45" s="3"/>
      <c r="I45" s="3"/>
      <c r="J45" s="3"/>
      <c r="K45" s="3"/>
      <c r="L45" s="4"/>
      <c r="M45" s="4"/>
      <c r="N45" s="4"/>
      <c r="O45" s="4"/>
      <c r="P45" s="4"/>
      <c r="Q45" s="4"/>
      <c r="R45" s="4"/>
      <c r="S45" s="4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25">
      <c r="A46" s="14"/>
      <c r="B46" s="42">
        <v>34</v>
      </c>
      <c r="C46" s="5" t="s">
        <v>62</v>
      </c>
      <c r="D46" s="6">
        <v>0</v>
      </c>
      <c r="E46" s="6">
        <v>0</v>
      </c>
      <c r="F46" s="6">
        <v>11276</v>
      </c>
      <c r="G46" s="6">
        <v>0</v>
      </c>
      <c r="H46" s="6">
        <v>0</v>
      </c>
      <c r="I46" s="6">
        <v>0</v>
      </c>
      <c r="J46" s="6">
        <v>1310967</v>
      </c>
      <c r="K46" s="6">
        <v>0</v>
      </c>
      <c r="L46" s="7">
        <v>1720460</v>
      </c>
      <c r="M46" s="7">
        <v>17433558.204</v>
      </c>
      <c r="N46" s="7">
        <v>4514347</v>
      </c>
      <c r="O46" s="7">
        <v>48363322.398999996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</row>
    <row r="47" spans="1:29" x14ac:dyDescent="0.25">
      <c r="A47" s="14"/>
      <c r="B47" s="42">
        <v>35</v>
      </c>
      <c r="C47" s="5" t="s">
        <v>63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</row>
    <row r="48" spans="1:29" x14ac:dyDescent="0.25">
      <c r="A48" s="14"/>
      <c r="B48" s="42">
        <v>36</v>
      </c>
      <c r="C48" s="5" t="s">
        <v>64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1291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735</v>
      </c>
      <c r="U48" s="7">
        <v>1695.355</v>
      </c>
      <c r="V48" s="7">
        <v>1513</v>
      </c>
      <c r="W48" s="7">
        <v>38217.089999999997</v>
      </c>
      <c r="X48" s="7">
        <v>0</v>
      </c>
      <c r="Y48" s="7">
        <v>0</v>
      </c>
      <c r="Z48" s="7">
        <v>1251</v>
      </c>
      <c r="AA48" s="7">
        <v>6489.75</v>
      </c>
      <c r="AB48" s="7">
        <v>0</v>
      </c>
      <c r="AC48" s="7">
        <v>0</v>
      </c>
    </row>
    <row r="49" spans="1:29" x14ac:dyDescent="0.25">
      <c r="A49" s="14"/>
      <c r="B49" s="42">
        <v>37</v>
      </c>
      <c r="C49" s="5" t="s">
        <v>65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530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87</v>
      </c>
      <c r="U49" s="7">
        <v>318.38761</v>
      </c>
      <c r="V49" s="7">
        <v>0</v>
      </c>
      <c r="W49" s="7">
        <v>0</v>
      </c>
      <c r="X49" s="7">
        <v>0</v>
      </c>
      <c r="Y49" s="7">
        <v>0</v>
      </c>
      <c r="Z49" s="7">
        <v>629</v>
      </c>
      <c r="AA49" s="7">
        <v>5961.2</v>
      </c>
      <c r="AB49" s="7">
        <v>0</v>
      </c>
      <c r="AC49" s="7">
        <v>0</v>
      </c>
    </row>
    <row r="50" spans="1:29" x14ac:dyDescent="0.25">
      <c r="A50" s="14"/>
      <c r="B50" s="42">
        <v>38</v>
      </c>
      <c r="C50" s="5" t="s">
        <v>66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272288</v>
      </c>
      <c r="K50" s="6">
        <v>0</v>
      </c>
      <c r="L50" s="7">
        <v>163567</v>
      </c>
      <c r="M50" s="7">
        <v>1145124.1266100171</v>
      </c>
      <c r="N50" s="7">
        <v>344815</v>
      </c>
      <c r="O50" s="7">
        <v>5478493.4730309797</v>
      </c>
      <c r="P50" s="7">
        <v>0</v>
      </c>
      <c r="Q50" s="7">
        <v>0</v>
      </c>
      <c r="R50" s="7">
        <v>529</v>
      </c>
      <c r="S50" s="7">
        <v>4467.1000000000004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</row>
    <row r="51" spans="1:29" x14ac:dyDescent="0.25">
      <c r="A51" s="14"/>
      <c r="B51" s="42">
        <v>39</v>
      </c>
      <c r="C51" s="5" t="s">
        <v>67</v>
      </c>
      <c r="D51" s="6">
        <v>413</v>
      </c>
      <c r="E51" s="6">
        <v>314</v>
      </c>
      <c r="F51" s="6">
        <v>653</v>
      </c>
      <c r="G51" s="6">
        <v>84</v>
      </c>
      <c r="H51" s="6">
        <v>0</v>
      </c>
      <c r="I51" s="6">
        <v>9268</v>
      </c>
      <c r="J51" s="6">
        <v>321990</v>
      </c>
      <c r="K51" s="6">
        <v>1600701</v>
      </c>
      <c r="L51" s="7">
        <v>348816</v>
      </c>
      <c r="M51" s="7">
        <v>1679568.49128</v>
      </c>
      <c r="N51" s="7">
        <v>273427</v>
      </c>
      <c r="O51" s="7">
        <v>2321204.9949000003</v>
      </c>
      <c r="P51" s="7">
        <v>0</v>
      </c>
      <c r="Q51" s="7">
        <v>0</v>
      </c>
      <c r="R51" s="7">
        <v>1082</v>
      </c>
      <c r="S51" s="7">
        <v>3190.7</v>
      </c>
      <c r="T51" s="7">
        <v>126492</v>
      </c>
      <c r="U51" s="7">
        <v>469105.22710002848</v>
      </c>
      <c r="V51" s="7">
        <v>63759</v>
      </c>
      <c r="W51" s="7">
        <v>327971.6110000147</v>
      </c>
      <c r="X51" s="7">
        <v>0</v>
      </c>
      <c r="Y51" s="7">
        <v>0</v>
      </c>
      <c r="Z51" s="7">
        <v>608481</v>
      </c>
      <c r="AA51" s="7">
        <v>3947624.1880055019</v>
      </c>
      <c r="AB51" s="7">
        <v>0</v>
      </c>
      <c r="AC51" s="7">
        <v>0</v>
      </c>
    </row>
    <row r="52" spans="1:29" x14ac:dyDescent="0.25">
      <c r="A52" s="14"/>
      <c r="B52" s="42">
        <v>40</v>
      </c>
      <c r="C52" s="5" t="s">
        <v>68</v>
      </c>
      <c r="D52" s="6">
        <v>12</v>
      </c>
      <c r="E52" s="6">
        <v>3</v>
      </c>
      <c r="F52" s="6">
        <v>0</v>
      </c>
      <c r="G52" s="6">
        <v>0</v>
      </c>
      <c r="H52" s="6">
        <v>0</v>
      </c>
      <c r="I52" s="6">
        <v>278</v>
      </c>
      <c r="J52" s="6">
        <v>0</v>
      </c>
      <c r="K52" s="6">
        <v>99690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17166</v>
      </c>
      <c r="U52" s="7">
        <v>75950.158559999836</v>
      </c>
      <c r="V52" s="7">
        <v>16601</v>
      </c>
      <c r="W52" s="7">
        <v>57041.626809999987</v>
      </c>
      <c r="X52" s="7">
        <v>0</v>
      </c>
      <c r="Y52" s="7">
        <v>0</v>
      </c>
      <c r="Z52" s="7">
        <v>23029</v>
      </c>
      <c r="AA52" s="7">
        <v>157862.5</v>
      </c>
      <c r="AB52" s="7">
        <v>0</v>
      </c>
      <c r="AC52" s="7">
        <v>0</v>
      </c>
    </row>
    <row r="53" spans="1:29" x14ac:dyDescent="0.25">
      <c r="A53" s="14"/>
      <c r="B53" s="42">
        <v>41</v>
      </c>
      <c r="C53" s="5" t="s">
        <v>69</v>
      </c>
      <c r="D53" s="6">
        <v>2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23590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439</v>
      </c>
      <c r="U53" s="7">
        <v>1719.3588400000001</v>
      </c>
      <c r="V53" s="7">
        <v>132</v>
      </c>
      <c r="W53" s="7">
        <v>302.61857000000003</v>
      </c>
      <c r="X53" s="7">
        <v>0</v>
      </c>
      <c r="Y53" s="7">
        <v>0</v>
      </c>
      <c r="Z53" s="7">
        <v>1371</v>
      </c>
      <c r="AA53" s="7">
        <v>8352.2000000000007</v>
      </c>
      <c r="AB53" s="7">
        <v>0</v>
      </c>
      <c r="AC53" s="7">
        <v>0</v>
      </c>
    </row>
    <row r="54" spans="1:29" x14ac:dyDescent="0.25">
      <c r="A54" s="14"/>
      <c r="B54" s="42">
        <v>42</v>
      </c>
      <c r="C54" s="5" t="s">
        <v>70</v>
      </c>
      <c r="D54" s="37">
        <v>50</v>
      </c>
      <c r="E54" s="6">
        <v>25</v>
      </c>
      <c r="F54" s="6">
        <v>0</v>
      </c>
      <c r="G54" s="6">
        <v>0</v>
      </c>
      <c r="H54" s="6">
        <v>0</v>
      </c>
      <c r="I54" s="6">
        <v>0</v>
      </c>
      <c r="J54" s="6">
        <v>962641</v>
      </c>
      <c r="K54" s="6">
        <v>939812</v>
      </c>
      <c r="L54" s="7">
        <v>1164417</v>
      </c>
      <c r="M54" s="7">
        <v>5294456.3734300146</v>
      </c>
      <c r="N54" s="7">
        <v>3192864</v>
      </c>
      <c r="O54" s="7">
        <v>11833289.292909659</v>
      </c>
      <c r="P54" s="7">
        <v>0</v>
      </c>
      <c r="Q54" s="7">
        <v>0</v>
      </c>
      <c r="R54" s="7">
        <v>2474</v>
      </c>
      <c r="S54" s="7">
        <v>18977.450629999999</v>
      </c>
      <c r="T54" s="7">
        <v>279127</v>
      </c>
      <c r="U54" s="7">
        <v>1764981.3539100001</v>
      </c>
      <c r="V54" s="7">
        <v>0</v>
      </c>
      <c r="W54" s="7">
        <v>0</v>
      </c>
      <c r="X54" s="7">
        <v>0</v>
      </c>
      <c r="Y54" s="7">
        <v>0</v>
      </c>
      <c r="Z54" s="7">
        <v>242777</v>
      </c>
      <c r="AA54" s="7">
        <v>1624110.9246799999</v>
      </c>
      <c r="AB54" s="7">
        <v>0</v>
      </c>
      <c r="AC54" s="7">
        <v>0</v>
      </c>
    </row>
    <row r="55" spans="1:29" x14ac:dyDescent="0.25">
      <c r="A55" s="14"/>
      <c r="B55" s="42">
        <v>43</v>
      </c>
      <c r="C55" s="5" t="s">
        <v>71</v>
      </c>
      <c r="D55" s="6">
        <v>1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1956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1073</v>
      </c>
      <c r="U55" s="7">
        <v>3325.453</v>
      </c>
      <c r="V55" s="7">
        <v>157</v>
      </c>
      <c r="W55" s="7">
        <v>389.87700000000001</v>
      </c>
      <c r="X55" s="7">
        <v>0</v>
      </c>
      <c r="Y55" s="7">
        <v>0</v>
      </c>
      <c r="Z55" s="7">
        <v>278</v>
      </c>
      <c r="AA55" s="7">
        <v>1661.5229999999999</v>
      </c>
      <c r="AB55" s="7">
        <v>0</v>
      </c>
      <c r="AC55" s="7">
        <v>0</v>
      </c>
    </row>
    <row r="56" spans="1:29" x14ac:dyDescent="0.25">
      <c r="A56" s="14"/>
      <c r="B56" s="42">
        <v>44</v>
      </c>
      <c r="C56" s="5" t="s">
        <v>72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405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261</v>
      </c>
      <c r="U56" s="7">
        <v>838.20044999999993</v>
      </c>
      <c r="V56" s="7">
        <v>189</v>
      </c>
      <c r="W56" s="7">
        <v>518.26552000000004</v>
      </c>
      <c r="X56" s="7">
        <v>0</v>
      </c>
      <c r="Y56" s="7">
        <v>0</v>
      </c>
      <c r="Z56" s="7">
        <v>123</v>
      </c>
      <c r="AA56" s="7">
        <v>798.3</v>
      </c>
      <c r="AB56" s="7">
        <v>0</v>
      </c>
      <c r="AC56" s="7">
        <v>0</v>
      </c>
    </row>
    <row r="57" spans="1:29" x14ac:dyDescent="0.25">
      <c r="A57" s="14" t="s">
        <v>73</v>
      </c>
      <c r="B57" s="42">
        <v>45</v>
      </c>
      <c r="C57" s="5" t="s">
        <v>74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97</v>
      </c>
      <c r="J57" s="6">
        <v>868063</v>
      </c>
      <c r="K57" s="6">
        <v>861552</v>
      </c>
      <c r="L57" s="7">
        <v>120661</v>
      </c>
      <c r="M57" s="7">
        <v>182902.41029999981</v>
      </c>
      <c r="N57" s="7">
        <v>351432</v>
      </c>
      <c r="O57" s="7">
        <v>411970.55446999799</v>
      </c>
      <c r="P57" s="7">
        <v>0</v>
      </c>
      <c r="Q57" s="7">
        <v>0</v>
      </c>
      <c r="R57" s="7">
        <v>1851</v>
      </c>
      <c r="S57" s="7">
        <v>6026.7468799999997</v>
      </c>
      <c r="T57" s="7">
        <v>7571</v>
      </c>
      <c r="U57" s="7">
        <v>25769.544690000002</v>
      </c>
      <c r="V57" s="7">
        <v>9817</v>
      </c>
      <c r="W57" s="7">
        <v>39622.948340000003</v>
      </c>
      <c r="X57" s="7">
        <v>0</v>
      </c>
      <c r="Y57" s="7">
        <v>0</v>
      </c>
      <c r="Z57" s="7">
        <v>25988</v>
      </c>
      <c r="AA57" s="7">
        <v>122363.89253</v>
      </c>
      <c r="AB57" s="7">
        <v>0</v>
      </c>
      <c r="AC57" s="7">
        <v>0</v>
      </c>
    </row>
    <row r="58" spans="1:29" x14ac:dyDescent="0.25">
      <c r="A58" s="14"/>
      <c r="B58" s="42">
        <v>46</v>
      </c>
      <c r="C58" s="13" t="s">
        <v>75</v>
      </c>
      <c r="D58" s="6">
        <v>98</v>
      </c>
      <c r="E58" s="6">
        <v>36</v>
      </c>
      <c r="F58" s="6">
        <v>0</v>
      </c>
      <c r="G58" s="6">
        <v>0</v>
      </c>
      <c r="H58" s="6">
        <v>0</v>
      </c>
      <c r="I58" s="6">
        <v>0</v>
      </c>
      <c r="J58" s="6">
        <v>638169</v>
      </c>
      <c r="K58" s="6">
        <v>844788</v>
      </c>
      <c r="L58" s="7">
        <v>718411</v>
      </c>
      <c r="M58" s="7">
        <v>2979747.3692201129</v>
      </c>
      <c r="N58" s="7">
        <v>913776</v>
      </c>
      <c r="O58" s="7">
        <v>4926629.7758795368</v>
      </c>
      <c r="P58" s="7">
        <v>0</v>
      </c>
      <c r="Q58" s="7">
        <v>0</v>
      </c>
      <c r="R58" s="7">
        <v>1215</v>
      </c>
      <c r="S58" s="7">
        <v>8784</v>
      </c>
      <c r="T58" s="7">
        <v>175648</v>
      </c>
      <c r="U58" s="7">
        <v>876666.94914999558</v>
      </c>
      <c r="V58" s="7">
        <v>111707</v>
      </c>
      <c r="W58" s="7">
        <v>461397.46851997252</v>
      </c>
      <c r="X58" s="7">
        <v>23</v>
      </c>
      <c r="Y58" s="7">
        <v>235.77500000000001</v>
      </c>
      <c r="Z58" s="7">
        <v>377546</v>
      </c>
      <c r="AA58" s="7">
        <v>2354978.5288400021</v>
      </c>
      <c r="AB58" s="7">
        <v>0</v>
      </c>
      <c r="AC58" s="7">
        <v>0</v>
      </c>
    </row>
    <row r="59" spans="1:29" x14ac:dyDescent="0.25">
      <c r="A59" s="14"/>
      <c r="B59" s="42">
        <v>47</v>
      </c>
      <c r="C59" s="13" t="s">
        <v>76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1060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1510</v>
      </c>
      <c r="U59" s="7">
        <v>5748.7676700000011</v>
      </c>
      <c r="V59" s="7">
        <v>681</v>
      </c>
      <c r="W59" s="7">
        <v>2239.2823699999994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</row>
    <row r="60" spans="1:29" x14ac:dyDescent="0.25">
      <c r="A60" s="14"/>
      <c r="B60" s="12" t="s">
        <v>77</v>
      </c>
      <c r="C60" s="13"/>
      <c r="D60" s="6"/>
      <c r="E60" s="6"/>
      <c r="F60" s="6"/>
      <c r="G60" s="6"/>
      <c r="H60" s="6"/>
      <c r="I60" s="6"/>
      <c r="J60" s="6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s="19" customFormat="1" x14ac:dyDescent="0.25">
      <c r="A61" s="31"/>
      <c r="B61" s="43">
        <v>48</v>
      </c>
      <c r="C61" s="16" t="s">
        <v>78</v>
      </c>
      <c r="D61" s="17">
        <v>0</v>
      </c>
      <c r="E61" s="17">
        <v>0</v>
      </c>
      <c r="F61" s="17">
        <v>0</v>
      </c>
      <c r="G61" s="17">
        <v>162660</v>
      </c>
      <c r="H61" s="17">
        <v>0</v>
      </c>
      <c r="I61" s="17">
        <v>855926</v>
      </c>
      <c r="J61" s="17">
        <v>0</v>
      </c>
      <c r="K61" s="17">
        <v>10858717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2317506</v>
      </c>
      <c r="U61" s="18">
        <v>115415.33784000001</v>
      </c>
      <c r="V61" s="18">
        <v>24617</v>
      </c>
      <c r="W61" s="18">
        <v>27521.99397</v>
      </c>
      <c r="X61" s="18">
        <v>0</v>
      </c>
      <c r="Y61" s="18">
        <v>0</v>
      </c>
      <c r="Z61" s="18">
        <v>614274</v>
      </c>
      <c r="AA61" s="18">
        <v>2317714.69802</v>
      </c>
      <c r="AB61" s="18">
        <v>0</v>
      </c>
      <c r="AC61" s="18">
        <v>0</v>
      </c>
    </row>
    <row r="62" spans="1:29" s="19" customFormat="1" x14ac:dyDescent="0.25">
      <c r="A62" s="31"/>
      <c r="B62" s="43">
        <v>49</v>
      </c>
      <c r="C62" s="16" t="s">
        <v>79</v>
      </c>
      <c r="D62" s="17">
        <v>0</v>
      </c>
      <c r="E62" s="17">
        <v>0</v>
      </c>
      <c r="F62" s="17">
        <v>0</v>
      </c>
      <c r="G62" s="17">
        <v>472558</v>
      </c>
      <c r="H62" s="17">
        <v>0</v>
      </c>
      <c r="I62" s="17">
        <v>11675</v>
      </c>
      <c r="J62" s="17">
        <v>0</v>
      </c>
      <c r="K62" s="17">
        <v>11078386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89948</v>
      </c>
      <c r="U62" s="18">
        <v>301501.70040000009</v>
      </c>
      <c r="V62" s="18">
        <v>1234</v>
      </c>
      <c r="W62" s="18">
        <v>2536.2048199999995</v>
      </c>
      <c r="X62" s="18">
        <v>0</v>
      </c>
      <c r="Y62" s="18">
        <v>0</v>
      </c>
      <c r="Z62" s="18">
        <v>1819078</v>
      </c>
      <c r="AA62" s="18">
        <v>6730795.7860000003</v>
      </c>
      <c r="AB62" s="18">
        <v>0</v>
      </c>
      <c r="AC62" s="18">
        <v>0</v>
      </c>
    </row>
    <row r="63" spans="1:29" s="19" customFormat="1" x14ac:dyDescent="0.25">
      <c r="A63" s="31"/>
      <c r="B63" s="43">
        <v>50</v>
      </c>
      <c r="C63" s="16" t="s">
        <v>80</v>
      </c>
      <c r="D63" s="17">
        <v>0</v>
      </c>
      <c r="E63" s="17">
        <v>0</v>
      </c>
      <c r="F63" s="17">
        <v>0</v>
      </c>
      <c r="G63" s="17">
        <v>176661</v>
      </c>
      <c r="H63" s="17">
        <v>0</v>
      </c>
      <c r="I63" s="17">
        <v>0</v>
      </c>
      <c r="J63" s="17">
        <v>0</v>
      </c>
      <c r="K63" s="17">
        <v>33302184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69325</v>
      </c>
      <c r="W63" s="18">
        <v>88227.30042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</row>
    <row r="64" spans="1:29" s="19" customFormat="1" x14ac:dyDescent="0.25">
      <c r="A64" s="31"/>
      <c r="B64" s="43">
        <v>51</v>
      </c>
      <c r="C64" s="16" t="s">
        <v>81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156478</v>
      </c>
      <c r="J64" s="17">
        <v>0</v>
      </c>
      <c r="K64" s="17">
        <v>1586448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14200</v>
      </c>
      <c r="U64" s="18">
        <v>23508.10068</v>
      </c>
      <c r="V64" s="18">
        <v>16753</v>
      </c>
      <c r="W64" s="18">
        <v>31243.013500000201</v>
      </c>
      <c r="X64" s="18">
        <v>2432</v>
      </c>
      <c r="Y64" s="18">
        <v>1475.9340900000002</v>
      </c>
      <c r="Z64" s="18">
        <v>162751</v>
      </c>
      <c r="AA64" s="18">
        <v>857629.79799999995</v>
      </c>
      <c r="AB64" s="18">
        <v>0</v>
      </c>
      <c r="AC64" s="18">
        <v>0</v>
      </c>
    </row>
    <row r="65" spans="1:29" s="19" customFormat="1" x14ac:dyDescent="0.25">
      <c r="A65" s="31"/>
      <c r="B65" s="43">
        <v>52</v>
      </c>
      <c r="C65" s="16" t="s">
        <v>82</v>
      </c>
      <c r="D65" s="17">
        <v>0</v>
      </c>
      <c r="E65" s="17">
        <v>0</v>
      </c>
      <c r="F65" s="17">
        <v>0</v>
      </c>
      <c r="G65" s="17">
        <v>261731</v>
      </c>
      <c r="H65" s="17">
        <v>0</v>
      </c>
      <c r="I65" s="17">
        <v>0</v>
      </c>
      <c r="J65" s="17">
        <v>0</v>
      </c>
      <c r="K65" s="17">
        <v>3285528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18171</v>
      </c>
      <c r="U65" s="18">
        <v>31465.453000000001</v>
      </c>
      <c r="V65" s="18">
        <v>13708</v>
      </c>
      <c r="W65" s="18">
        <v>33387.490079999996</v>
      </c>
      <c r="X65" s="18">
        <v>0</v>
      </c>
      <c r="Y65" s="18">
        <v>0</v>
      </c>
      <c r="Z65" s="18">
        <v>477623</v>
      </c>
      <c r="AA65" s="18">
        <v>1359535.5</v>
      </c>
      <c r="AB65" s="18">
        <v>0</v>
      </c>
      <c r="AC65" s="18">
        <v>0</v>
      </c>
    </row>
    <row r="66" spans="1:29" s="19" customFormat="1" x14ac:dyDescent="0.25">
      <c r="A66" s="31"/>
      <c r="B66" s="43">
        <v>53</v>
      </c>
      <c r="C66" s="20" t="s">
        <v>83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26730297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23</v>
      </c>
      <c r="U66" s="18">
        <v>22.15802</v>
      </c>
      <c r="V66" s="18">
        <v>170</v>
      </c>
      <c r="W66" s="18">
        <v>35.736930000000001</v>
      </c>
      <c r="X66" s="18">
        <v>0</v>
      </c>
      <c r="Y66" s="18">
        <v>0</v>
      </c>
      <c r="Z66" s="18">
        <v>13</v>
      </c>
      <c r="AA66" s="18">
        <v>66.3</v>
      </c>
      <c r="AB66" s="18">
        <v>0</v>
      </c>
      <c r="AC66" s="18">
        <v>0</v>
      </c>
    </row>
    <row r="67" spans="1:29" x14ac:dyDescent="0.25">
      <c r="A67" s="14"/>
      <c r="B67" s="12" t="s">
        <v>84</v>
      </c>
      <c r="C67" s="13"/>
      <c r="D67" s="3"/>
      <c r="E67" s="3"/>
      <c r="F67" s="3"/>
      <c r="G67" s="3"/>
      <c r="H67" s="3"/>
      <c r="I67" s="3"/>
      <c r="J67" s="3"/>
      <c r="K67" s="3"/>
      <c r="L67" s="4"/>
      <c r="M67" s="4"/>
      <c r="N67" s="4"/>
      <c r="O67" s="4"/>
      <c r="P67" s="4"/>
      <c r="Q67" s="4"/>
      <c r="R67" s="4"/>
      <c r="S67" s="4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x14ac:dyDescent="0.25">
      <c r="A68" s="14"/>
      <c r="B68" s="42">
        <v>54</v>
      </c>
      <c r="C68" s="5" t="s">
        <v>85</v>
      </c>
      <c r="D68" s="6">
        <v>755</v>
      </c>
      <c r="E68" s="6">
        <v>6</v>
      </c>
      <c r="F68" s="6">
        <v>0</v>
      </c>
      <c r="G68" s="6">
        <v>864</v>
      </c>
      <c r="H68" s="6">
        <v>0</v>
      </c>
      <c r="I68" s="6">
        <v>391115</v>
      </c>
      <c r="J68" s="6">
        <v>1000711</v>
      </c>
      <c r="K68" s="6">
        <v>8937905</v>
      </c>
      <c r="L68" s="7">
        <v>796507</v>
      </c>
      <c r="M68" s="7">
        <v>4407940.6206999999</v>
      </c>
      <c r="N68" s="7">
        <v>3377284</v>
      </c>
      <c r="O68" s="7">
        <v>7635458.6012700005</v>
      </c>
      <c r="P68" s="7">
        <v>497</v>
      </c>
      <c r="Q68" s="7">
        <v>260.65300000000002</v>
      </c>
      <c r="R68" s="7">
        <v>3137</v>
      </c>
      <c r="S68" s="7">
        <v>19666.2</v>
      </c>
      <c r="T68" s="7">
        <v>156596</v>
      </c>
      <c r="U68" s="7">
        <v>486621.08431999997</v>
      </c>
      <c r="V68" s="7">
        <v>216687</v>
      </c>
      <c r="W68" s="7">
        <v>1032982.2362200001</v>
      </c>
      <c r="X68" s="7">
        <v>92</v>
      </c>
      <c r="Y68" s="7">
        <v>1156.53</v>
      </c>
      <c r="Z68" s="7">
        <v>1360606</v>
      </c>
      <c r="AA68" s="7">
        <v>7887278.7699999996</v>
      </c>
      <c r="AB68" s="7">
        <v>0</v>
      </c>
      <c r="AC68" s="7">
        <v>0</v>
      </c>
    </row>
    <row r="69" spans="1:29" x14ac:dyDescent="0.25">
      <c r="A69" s="14"/>
      <c r="B69" s="42">
        <v>55</v>
      </c>
      <c r="C69" s="5" t="s">
        <v>86</v>
      </c>
      <c r="D69" s="6">
        <v>211</v>
      </c>
      <c r="E69" s="6">
        <v>2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234909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20890</v>
      </c>
      <c r="U69" s="7">
        <v>86159.005120000002</v>
      </c>
      <c r="V69" s="7">
        <v>1941</v>
      </c>
      <c r="W69" s="7">
        <v>11446.5414</v>
      </c>
      <c r="X69" s="7">
        <v>0</v>
      </c>
      <c r="Y69" s="7">
        <v>0</v>
      </c>
      <c r="Z69" s="7">
        <v>105628</v>
      </c>
      <c r="AA69" s="7">
        <v>697815.02099999995</v>
      </c>
      <c r="AB69" s="7">
        <v>0</v>
      </c>
      <c r="AC69" s="7">
        <v>0</v>
      </c>
    </row>
    <row r="70" spans="1:29" x14ac:dyDescent="0.25">
      <c r="A70" s="14"/>
      <c r="B70" s="42">
        <v>56</v>
      </c>
      <c r="C70" s="5" t="s">
        <v>87</v>
      </c>
      <c r="D70" s="6">
        <v>392</v>
      </c>
      <c r="E70" s="6">
        <v>4</v>
      </c>
      <c r="F70" s="6">
        <v>2850</v>
      </c>
      <c r="G70" s="6">
        <v>363</v>
      </c>
      <c r="H70" s="6">
        <v>0</v>
      </c>
      <c r="I70" s="6">
        <v>60063</v>
      </c>
      <c r="J70" s="6">
        <v>13550</v>
      </c>
      <c r="K70" s="6">
        <v>1139768</v>
      </c>
      <c r="L70" s="7">
        <v>98266</v>
      </c>
      <c r="M70" s="7">
        <v>188638.81593000001</v>
      </c>
      <c r="N70" s="7">
        <v>8979</v>
      </c>
      <c r="O70" s="7">
        <v>122915.30422999999</v>
      </c>
      <c r="P70" s="7">
        <v>0</v>
      </c>
      <c r="Q70" s="7">
        <v>0</v>
      </c>
      <c r="R70" s="7">
        <v>312</v>
      </c>
      <c r="S70" s="7">
        <v>1826.5</v>
      </c>
      <c r="T70" s="7">
        <v>68312</v>
      </c>
      <c r="U70" s="7">
        <v>210202.55650999999</v>
      </c>
      <c r="V70" s="7">
        <v>18532</v>
      </c>
      <c r="W70" s="7">
        <v>139823.88102</v>
      </c>
      <c r="X70" s="7">
        <v>0</v>
      </c>
      <c r="Y70" s="7">
        <v>0</v>
      </c>
      <c r="Z70" s="7">
        <v>1639169</v>
      </c>
      <c r="AA70" s="7">
        <v>5235122.4809999997</v>
      </c>
      <c r="AB70" s="7">
        <v>0</v>
      </c>
      <c r="AC70" s="7">
        <v>0</v>
      </c>
    </row>
    <row r="71" spans="1:29" x14ac:dyDescent="0.25">
      <c r="A71" s="14"/>
      <c r="B71" s="42">
        <v>57</v>
      </c>
      <c r="C71" s="5" t="s">
        <v>88</v>
      </c>
      <c r="D71" s="6">
        <v>718</v>
      </c>
      <c r="E71" s="6">
        <v>2</v>
      </c>
      <c r="F71" s="6">
        <v>0</v>
      </c>
      <c r="G71" s="6">
        <v>2923</v>
      </c>
      <c r="H71" s="6">
        <v>0</v>
      </c>
      <c r="I71" s="6">
        <v>52</v>
      </c>
      <c r="J71" s="6">
        <v>8495</v>
      </c>
      <c r="K71" s="6">
        <v>5266585</v>
      </c>
      <c r="L71" s="7">
        <v>6608</v>
      </c>
      <c r="M71" s="7">
        <v>17865.96168</v>
      </c>
      <c r="N71" s="7">
        <v>61643</v>
      </c>
      <c r="O71" s="7">
        <v>54044.282879999912</v>
      </c>
      <c r="P71" s="7">
        <v>0</v>
      </c>
      <c r="Q71" s="7">
        <v>0</v>
      </c>
      <c r="R71" s="7">
        <v>57</v>
      </c>
      <c r="S71" s="7">
        <v>176.4</v>
      </c>
      <c r="T71" s="7">
        <v>110289</v>
      </c>
      <c r="U71" s="7">
        <v>257366.29154999991</v>
      </c>
      <c r="V71" s="7">
        <v>8970</v>
      </c>
      <c r="W71" s="7">
        <v>39566.585159999995</v>
      </c>
      <c r="X71" s="7">
        <v>0</v>
      </c>
      <c r="Y71" s="7">
        <v>0</v>
      </c>
      <c r="Z71" s="7">
        <v>737466</v>
      </c>
      <c r="AA71" s="7">
        <v>4045012.4550000001</v>
      </c>
      <c r="AB71" s="7">
        <v>0</v>
      </c>
      <c r="AC71" s="7">
        <v>0</v>
      </c>
    </row>
    <row r="72" spans="1:29" x14ac:dyDescent="0.25">
      <c r="A72" s="14"/>
      <c r="B72" s="42">
        <v>58</v>
      </c>
      <c r="C72" s="5" t="s">
        <v>89</v>
      </c>
      <c r="D72" s="6">
        <v>57</v>
      </c>
      <c r="E72" s="6">
        <v>5</v>
      </c>
      <c r="F72" s="6">
        <v>0</v>
      </c>
      <c r="G72" s="6">
        <v>173</v>
      </c>
      <c r="H72" s="6">
        <v>0</v>
      </c>
      <c r="I72" s="6">
        <v>789465</v>
      </c>
      <c r="J72" s="6">
        <v>0</v>
      </c>
      <c r="K72" s="6">
        <v>4490913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40959</v>
      </c>
      <c r="U72" s="7">
        <v>104415.38683</v>
      </c>
      <c r="V72" s="7">
        <v>8856</v>
      </c>
      <c r="W72" s="7">
        <v>23151.66174</v>
      </c>
      <c r="X72" s="7">
        <v>0</v>
      </c>
      <c r="Y72" s="7">
        <v>0</v>
      </c>
      <c r="Z72" s="7">
        <v>681023</v>
      </c>
      <c r="AA72" s="7">
        <v>2503953.3495999998</v>
      </c>
      <c r="AB72" s="7">
        <v>0</v>
      </c>
      <c r="AC72" s="7">
        <v>0</v>
      </c>
    </row>
    <row r="73" spans="1:29" x14ac:dyDescent="0.25">
      <c r="A73" s="14"/>
      <c r="B73" s="42">
        <v>59</v>
      </c>
      <c r="C73" s="5" t="s">
        <v>90</v>
      </c>
      <c r="D73" s="6">
        <v>3</v>
      </c>
      <c r="E73" s="6">
        <v>2</v>
      </c>
      <c r="F73" s="6">
        <v>0</v>
      </c>
      <c r="G73" s="6">
        <v>0</v>
      </c>
      <c r="H73" s="6">
        <v>0</v>
      </c>
      <c r="I73" s="6">
        <v>18516</v>
      </c>
      <c r="J73" s="6">
        <v>170945</v>
      </c>
      <c r="K73" s="6">
        <v>4794082</v>
      </c>
      <c r="L73" s="7">
        <v>2411532</v>
      </c>
      <c r="M73" s="7">
        <v>1224203.9182</v>
      </c>
      <c r="N73" s="7">
        <v>525194</v>
      </c>
      <c r="O73" s="7">
        <v>570414.83659000008</v>
      </c>
      <c r="P73" s="7">
        <v>0</v>
      </c>
      <c r="Q73" s="7">
        <v>0</v>
      </c>
      <c r="R73" s="7">
        <v>0</v>
      </c>
      <c r="S73" s="7">
        <v>0</v>
      </c>
      <c r="T73" s="7">
        <v>9044</v>
      </c>
      <c r="U73" s="7">
        <v>20189.124</v>
      </c>
      <c r="V73" s="7">
        <v>38227</v>
      </c>
      <c r="W73" s="7">
        <v>121488.068</v>
      </c>
      <c r="X73" s="7">
        <v>0</v>
      </c>
      <c r="Y73" s="7">
        <v>0</v>
      </c>
      <c r="Z73" s="7">
        <v>70288</v>
      </c>
      <c r="AA73" s="7">
        <v>399546.1</v>
      </c>
      <c r="AB73" s="7">
        <v>2556</v>
      </c>
      <c r="AC73" s="7">
        <v>10730.71</v>
      </c>
    </row>
    <row r="74" spans="1:29" x14ac:dyDescent="0.25">
      <c r="A74" s="14"/>
      <c r="B74" s="42">
        <v>60</v>
      </c>
      <c r="C74" s="5" t="s">
        <v>91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37974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1325</v>
      </c>
      <c r="U74" s="7">
        <v>3778.2275399999999</v>
      </c>
      <c r="V74" s="7">
        <v>462</v>
      </c>
      <c r="W74" s="7">
        <v>1640.4861299999998</v>
      </c>
      <c r="X74" s="7">
        <v>0</v>
      </c>
      <c r="Y74" s="7">
        <v>0</v>
      </c>
      <c r="Z74" s="7">
        <v>13107</v>
      </c>
      <c r="AA74" s="7">
        <v>74819.289999999994</v>
      </c>
      <c r="AB74" s="7">
        <v>0</v>
      </c>
      <c r="AC74" s="7">
        <v>0</v>
      </c>
    </row>
    <row r="75" spans="1:29" x14ac:dyDescent="0.25">
      <c r="A75" s="14"/>
      <c r="B75" s="42">
        <v>61</v>
      </c>
      <c r="C75" s="5" t="s">
        <v>92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40261</v>
      </c>
      <c r="K75" s="6">
        <v>1016439</v>
      </c>
      <c r="L75" s="7">
        <v>5569</v>
      </c>
      <c r="M75" s="7">
        <v>20136.3662</v>
      </c>
      <c r="N75" s="7">
        <v>18164</v>
      </c>
      <c r="O75" s="7">
        <v>40346.28342</v>
      </c>
      <c r="P75" s="7">
        <v>0</v>
      </c>
      <c r="Q75" s="7">
        <v>0</v>
      </c>
      <c r="R75" s="7">
        <v>0</v>
      </c>
      <c r="S75" s="7">
        <v>0</v>
      </c>
      <c r="T75" s="7">
        <v>5946</v>
      </c>
      <c r="U75" s="7">
        <v>13307.344999999999</v>
      </c>
      <c r="V75" s="7">
        <v>881</v>
      </c>
      <c r="W75" s="7">
        <v>4456.38</v>
      </c>
      <c r="X75" s="7">
        <v>0</v>
      </c>
      <c r="Y75" s="7">
        <v>0</v>
      </c>
      <c r="Z75" s="7">
        <v>64059</v>
      </c>
      <c r="AA75" s="7">
        <v>300026.59999999998</v>
      </c>
      <c r="AB75" s="7">
        <v>0</v>
      </c>
      <c r="AC75" s="7">
        <v>0</v>
      </c>
    </row>
    <row r="76" spans="1:29" x14ac:dyDescent="0.25">
      <c r="A76" s="14"/>
      <c r="B76" s="42">
        <v>62</v>
      </c>
      <c r="C76" s="5" t="s">
        <v>93</v>
      </c>
      <c r="D76" s="6">
        <v>608</v>
      </c>
      <c r="E76" s="6">
        <v>4</v>
      </c>
      <c r="F76" s="6">
        <v>0</v>
      </c>
      <c r="G76" s="6">
        <v>0</v>
      </c>
      <c r="H76" s="6">
        <v>0</v>
      </c>
      <c r="I76" s="6">
        <v>546707</v>
      </c>
      <c r="J76" s="6">
        <v>0</v>
      </c>
      <c r="K76" s="6">
        <v>6509096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119820</v>
      </c>
      <c r="U76" s="7">
        <v>314976.27805000002</v>
      </c>
      <c r="V76" s="7">
        <v>20017</v>
      </c>
      <c r="W76" s="7">
        <v>117207.54214000001</v>
      </c>
      <c r="X76" s="7">
        <v>0</v>
      </c>
      <c r="Y76" s="7">
        <v>0</v>
      </c>
      <c r="Z76" s="7">
        <v>2687138</v>
      </c>
      <c r="AA76" s="7">
        <v>13603480.438999999</v>
      </c>
      <c r="AB76" s="7">
        <v>0</v>
      </c>
      <c r="AC76" s="7">
        <v>0</v>
      </c>
    </row>
    <row r="77" spans="1:29" x14ac:dyDescent="0.25">
      <c r="A77" s="14"/>
      <c r="B77" s="42">
        <v>63</v>
      </c>
      <c r="C77" s="5" t="s">
        <v>94</v>
      </c>
      <c r="D77" s="6">
        <v>187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206986</v>
      </c>
      <c r="K77" s="6">
        <v>118529</v>
      </c>
      <c r="L77" s="7">
        <v>35958</v>
      </c>
      <c r="M77" s="7">
        <v>119118.9299</v>
      </c>
      <c r="N77" s="7">
        <v>91959</v>
      </c>
      <c r="O77" s="7">
        <v>315990.73969999998</v>
      </c>
      <c r="P77" s="7">
        <v>0</v>
      </c>
      <c r="Q77" s="7">
        <v>0</v>
      </c>
      <c r="R77" s="7">
        <v>1601</v>
      </c>
      <c r="S77" s="7">
        <v>6880.6</v>
      </c>
      <c r="T77" s="7">
        <v>8180</v>
      </c>
      <c r="U77" s="7">
        <v>19917.077519999999</v>
      </c>
      <c r="V77" s="7">
        <v>1348</v>
      </c>
      <c r="W77" s="7">
        <v>6616.5826399999996</v>
      </c>
      <c r="X77" s="7">
        <v>0</v>
      </c>
      <c r="Y77" s="7">
        <v>0</v>
      </c>
      <c r="Z77" s="7">
        <v>38147</v>
      </c>
      <c r="AA77" s="7">
        <v>194224</v>
      </c>
      <c r="AB77" s="7">
        <v>0</v>
      </c>
      <c r="AC77" s="7">
        <v>0</v>
      </c>
    </row>
    <row r="78" spans="1:29" x14ac:dyDescent="0.25">
      <c r="A78" s="14"/>
      <c r="B78" s="42">
        <v>64</v>
      </c>
      <c r="C78" s="5" t="s">
        <v>95</v>
      </c>
      <c r="D78" s="6">
        <v>365</v>
      </c>
      <c r="E78" s="6">
        <v>8</v>
      </c>
      <c r="F78" s="6">
        <v>0</v>
      </c>
      <c r="G78" s="6">
        <v>787</v>
      </c>
      <c r="H78" s="6">
        <v>0</v>
      </c>
      <c r="I78" s="6">
        <v>42325</v>
      </c>
      <c r="J78" s="6">
        <v>300953</v>
      </c>
      <c r="K78" s="6">
        <v>1348699</v>
      </c>
      <c r="L78" s="7">
        <v>19167</v>
      </c>
      <c r="M78" s="7">
        <v>33891.149530000002</v>
      </c>
      <c r="N78" s="7">
        <v>89932</v>
      </c>
      <c r="O78" s="7">
        <v>96027.338190000009</v>
      </c>
      <c r="P78" s="7">
        <v>3329250</v>
      </c>
      <c r="Q78" s="7">
        <v>877369.89083000005</v>
      </c>
      <c r="R78" s="7">
        <v>602</v>
      </c>
      <c r="S78" s="7">
        <v>945.7</v>
      </c>
      <c r="T78" s="7">
        <v>16691</v>
      </c>
      <c r="U78" s="7">
        <v>64522.002519999995</v>
      </c>
      <c r="V78" s="7">
        <v>5067</v>
      </c>
      <c r="W78" s="7">
        <v>27405.883170000019</v>
      </c>
      <c r="X78" s="7">
        <v>0</v>
      </c>
      <c r="Y78" s="7">
        <v>0</v>
      </c>
      <c r="Z78" s="7">
        <v>164733</v>
      </c>
      <c r="AA78" s="7">
        <v>1172737.865</v>
      </c>
      <c r="AB78" s="7">
        <v>0</v>
      </c>
      <c r="AC78" s="7">
        <v>0</v>
      </c>
    </row>
    <row r="79" spans="1:29" s="23" customFormat="1" x14ac:dyDescent="0.25">
      <c r="A79" s="32"/>
      <c r="B79" s="44" t="s">
        <v>96</v>
      </c>
      <c r="C79" s="13"/>
      <c r="D79" s="22">
        <f t="shared" ref="D79:AC79" si="0">SUM(D11:D78)</f>
        <v>135638</v>
      </c>
      <c r="E79" s="22">
        <f t="shared" si="0"/>
        <v>73693</v>
      </c>
      <c r="F79" s="22">
        <f t="shared" si="0"/>
        <v>11769361</v>
      </c>
      <c r="G79" s="22">
        <f t="shared" si="0"/>
        <v>1389878</v>
      </c>
      <c r="H79" s="22">
        <f t="shared" si="0"/>
        <v>5633027</v>
      </c>
      <c r="I79" s="22">
        <f t="shared" si="0"/>
        <v>761217394</v>
      </c>
      <c r="J79" s="22">
        <f t="shared" si="0"/>
        <v>118633677</v>
      </c>
      <c r="K79" s="22">
        <f t="shared" si="0"/>
        <v>1044568658</v>
      </c>
      <c r="L79" s="22">
        <f t="shared" si="0"/>
        <v>284035391</v>
      </c>
      <c r="M79" s="22">
        <f t="shared" si="0"/>
        <v>784704541.86464036</v>
      </c>
      <c r="N79" s="22">
        <f t="shared" si="0"/>
        <v>290096794</v>
      </c>
      <c r="O79" s="22">
        <f t="shared" si="0"/>
        <v>1409340082.2848117</v>
      </c>
      <c r="P79" s="22">
        <f t="shared" si="0"/>
        <v>3344310</v>
      </c>
      <c r="Q79" s="22">
        <f t="shared" si="0"/>
        <v>902284.32055000006</v>
      </c>
      <c r="R79" s="22">
        <f t="shared" si="0"/>
        <v>707718</v>
      </c>
      <c r="S79" s="22">
        <f t="shared" si="0"/>
        <v>4075917.5651500006</v>
      </c>
      <c r="T79" s="22">
        <f t="shared" si="0"/>
        <v>74932391</v>
      </c>
      <c r="U79" s="22">
        <f t="shared" si="0"/>
        <v>243464507.50784996</v>
      </c>
      <c r="V79" s="22">
        <f t="shared" si="0"/>
        <v>26307005</v>
      </c>
      <c r="W79" s="22">
        <f t="shared" si="0"/>
        <v>134339503.43171978</v>
      </c>
      <c r="X79" s="22">
        <f t="shared" si="0"/>
        <v>78017</v>
      </c>
      <c r="Y79" s="22">
        <f t="shared" si="0"/>
        <v>1679902.8160999999</v>
      </c>
      <c r="Z79" s="22">
        <f t="shared" si="0"/>
        <v>443999321</v>
      </c>
      <c r="AA79" s="22">
        <f t="shared" si="0"/>
        <v>2484190349.0758538</v>
      </c>
      <c r="AB79" s="22">
        <f t="shared" si="0"/>
        <v>9984</v>
      </c>
      <c r="AC79" s="22">
        <f t="shared" si="0"/>
        <v>17028.894850000001</v>
      </c>
    </row>
    <row r="80" spans="1:29" s="23" customFormat="1" x14ac:dyDescent="0.25">
      <c r="A80" s="21"/>
      <c r="B80" s="12"/>
      <c r="C80" s="13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30" x14ac:dyDescent="0.25">
      <c r="A81" s="24"/>
      <c r="B81" s="38"/>
      <c r="C81" s="38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spans="1:30" x14ac:dyDescent="0.25">
      <c r="A82" s="40" t="s">
        <v>97</v>
      </c>
      <c r="B82" s="47" t="s">
        <v>98</v>
      </c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 spans="1:30" x14ac:dyDescent="0.25">
      <c r="A83" s="41">
        <v>1</v>
      </c>
      <c r="B83" s="47" t="s">
        <v>99</v>
      </c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 spans="1:30" x14ac:dyDescent="0.25">
      <c r="A84" s="41">
        <v>2</v>
      </c>
      <c r="B84" s="47" t="s">
        <v>100</v>
      </c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 spans="1:30" s="25" customFormat="1" x14ac:dyDescent="0.25">
      <c r="A85" s="41">
        <v>3</v>
      </c>
      <c r="B85" s="47" t="s">
        <v>101</v>
      </c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</row>
    <row r="86" spans="1:30" s="25" customFormat="1" x14ac:dyDescent="0.25">
      <c r="A86" s="41">
        <v>4</v>
      </c>
      <c r="B86" s="47" t="s">
        <v>102</v>
      </c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</row>
    <row r="87" spans="1:30" s="25" customFormat="1" x14ac:dyDescent="0.25">
      <c r="A87" s="41">
        <v>5</v>
      </c>
      <c r="B87" s="47" t="s">
        <v>103</v>
      </c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 spans="1:30" s="25" customFormat="1" x14ac:dyDescent="0.25">
      <c r="A88" s="41">
        <v>6</v>
      </c>
      <c r="B88" s="47" t="s">
        <v>104</v>
      </c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 spans="1:30" s="25" customFormat="1" x14ac:dyDescent="0.25">
      <c r="A89" s="41">
        <v>7</v>
      </c>
      <c r="B89" s="47" t="s">
        <v>105</v>
      </c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 spans="1:30" s="25" customFormat="1" x14ac:dyDescent="0.25">
      <c r="A90" s="41">
        <v>8</v>
      </c>
      <c r="B90" s="47" t="s">
        <v>106</v>
      </c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</row>
    <row r="91" spans="1:30" s="25" customFormat="1" x14ac:dyDescent="0.25">
      <c r="A91" s="41">
        <v>9</v>
      </c>
      <c r="B91" s="47" t="s">
        <v>107</v>
      </c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26"/>
    </row>
    <row r="92" spans="1:30" s="25" customFormat="1" x14ac:dyDescent="0.25">
      <c r="A92" s="41">
        <v>10</v>
      </c>
      <c r="B92" s="47" t="s">
        <v>108</v>
      </c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spans="1:30" s="25" customFormat="1" x14ac:dyDescent="0.25">
      <c r="A93" s="41">
        <v>11</v>
      </c>
      <c r="B93" s="47" t="s">
        <v>109</v>
      </c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26"/>
    </row>
    <row r="94" spans="1:30" s="25" customFormat="1" x14ac:dyDescent="0.25">
      <c r="A94" s="41">
        <v>12</v>
      </c>
      <c r="B94" s="47" t="s">
        <v>110</v>
      </c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</row>
    <row r="95" spans="1:30" s="25" customFormat="1" x14ac:dyDescent="0.25">
      <c r="A95" s="41">
        <v>13</v>
      </c>
      <c r="B95" s="47" t="s">
        <v>111</v>
      </c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 spans="1:30" s="25" customFormat="1" x14ac:dyDescent="0.25">
      <c r="A96" s="41">
        <v>14</v>
      </c>
      <c r="B96" s="47" t="s">
        <v>112</v>
      </c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 spans="1:31" s="25" customFormat="1" x14ac:dyDescent="0.25">
      <c r="A97" s="41">
        <v>15</v>
      </c>
      <c r="B97" s="47" t="s">
        <v>113</v>
      </c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 spans="1:31" s="25" customFormat="1" x14ac:dyDescent="0.25">
      <c r="A98" s="41">
        <v>16</v>
      </c>
      <c r="B98" s="47" t="s">
        <v>114</v>
      </c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 spans="1:31" s="25" customFormat="1" x14ac:dyDescent="0.25">
      <c r="A99" s="41">
        <v>17</v>
      </c>
      <c r="B99" s="47" t="s">
        <v>115</v>
      </c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 spans="1:31" s="25" customFormat="1" x14ac:dyDescent="0.25">
      <c r="A100" s="41">
        <v>18</v>
      </c>
      <c r="B100" s="47" t="s">
        <v>116</v>
      </c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 spans="1:31" s="25" customFormat="1" x14ac:dyDescent="0.25">
      <c r="A101" s="41">
        <v>19</v>
      </c>
      <c r="B101" s="47" t="s">
        <v>117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 spans="1:31" s="25" customFormat="1" x14ac:dyDescent="0.25">
      <c r="A102" s="41">
        <v>20</v>
      </c>
      <c r="B102" s="47" t="s">
        <v>118</v>
      </c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27"/>
      <c r="AE102" s="27"/>
    </row>
    <row r="103" spans="1:31" s="25" customFormat="1" x14ac:dyDescent="0.25">
      <c r="A103" s="41">
        <v>21</v>
      </c>
      <c r="B103" s="47" t="s">
        <v>119</v>
      </c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 spans="1:31" s="25" customFormat="1" x14ac:dyDescent="0.25">
      <c r="A104" s="41">
        <v>22</v>
      </c>
      <c r="B104" s="47" t="s">
        <v>120</v>
      </c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 spans="1:31" s="25" customFormat="1" x14ac:dyDescent="0.25">
      <c r="A105" s="41">
        <v>23</v>
      </c>
      <c r="B105" s="47" t="s">
        <v>121</v>
      </c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spans="1:31" s="25" customFormat="1" x14ac:dyDescent="0.25">
      <c r="A106" s="41">
        <v>24</v>
      </c>
      <c r="B106" s="47" t="s">
        <v>122</v>
      </c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spans="1:31" s="25" customFormat="1" x14ac:dyDescent="0.25">
      <c r="A107" s="41">
        <v>25</v>
      </c>
      <c r="B107" s="47" t="s">
        <v>123</v>
      </c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spans="1:31" s="25" customFormat="1" x14ac:dyDescent="0.25">
      <c r="A108" s="41">
        <v>26</v>
      </c>
      <c r="B108" s="47" t="s">
        <v>124</v>
      </c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</sheetData>
  <mergeCells count="55">
    <mergeCell ref="B104:AC104"/>
    <mergeCell ref="B105:AC105"/>
    <mergeCell ref="B106:AC106"/>
    <mergeCell ref="B107:AC107"/>
    <mergeCell ref="B108:AC108"/>
    <mergeCell ref="B103:AC103"/>
    <mergeCell ref="D3:K3"/>
    <mergeCell ref="D4:K4"/>
    <mergeCell ref="B98:AC98"/>
    <mergeCell ref="B92:AC92"/>
    <mergeCell ref="B93:AC93"/>
    <mergeCell ref="B94:AC94"/>
    <mergeCell ref="B95:AC95"/>
    <mergeCell ref="B96:AC96"/>
    <mergeCell ref="B97:AC97"/>
    <mergeCell ref="B86:AC86"/>
    <mergeCell ref="B87:AC87"/>
    <mergeCell ref="B88:AC88"/>
    <mergeCell ref="B89:AC89"/>
    <mergeCell ref="K5:K7"/>
    <mergeCell ref="B99:AC99"/>
    <mergeCell ref="B100:AC100"/>
    <mergeCell ref="B101:AC101"/>
    <mergeCell ref="B102:AC102"/>
    <mergeCell ref="B90:AC90"/>
    <mergeCell ref="V6:W6"/>
    <mergeCell ref="X6:Y6"/>
    <mergeCell ref="L5:Q5"/>
    <mergeCell ref="B91:AC91"/>
    <mergeCell ref="Z6:AA6"/>
    <mergeCell ref="AB6:AC6"/>
    <mergeCell ref="B82:AC82"/>
    <mergeCell ref="B83:AC83"/>
    <mergeCell ref="B84:AC84"/>
    <mergeCell ref="B85:AC85"/>
    <mergeCell ref="G5:G7"/>
    <mergeCell ref="H5:H7"/>
    <mergeCell ref="I5:I7"/>
    <mergeCell ref="J5:J7"/>
    <mergeCell ref="B2:AC2"/>
    <mergeCell ref="B3:B7"/>
    <mergeCell ref="C3:C7"/>
    <mergeCell ref="L3:AC3"/>
    <mergeCell ref="L4:S4"/>
    <mergeCell ref="T4:AC4"/>
    <mergeCell ref="D5:E6"/>
    <mergeCell ref="F5:F7"/>
    <mergeCell ref="R5:S5"/>
    <mergeCell ref="T5:Y5"/>
    <mergeCell ref="Z5:AC5"/>
    <mergeCell ref="L6:M6"/>
    <mergeCell ref="N6:O6"/>
    <mergeCell ref="P6:Q6"/>
    <mergeCell ref="R6:S6"/>
    <mergeCell ref="T6:U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March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Manish</cp:lastModifiedBy>
  <dcterms:created xsi:type="dcterms:W3CDTF">2026-04-20T09:11:10Z</dcterms:created>
  <dcterms:modified xsi:type="dcterms:W3CDTF">2026-05-25T11:49:09Z</dcterms:modified>
</cp:coreProperties>
</file>